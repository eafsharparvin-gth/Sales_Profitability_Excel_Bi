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hidePivotFieldList="1"/>
  <mc:AlternateContent xmlns:mc="http://schemas.openxmlformats.org/markup-compatibility/2006">
    <mc:Choice Requires="x15">
      <x15ac:absPath xmlns:x15ac="http://schemas.microsoft.com/office/spreadsheetml/2010/11/ac" url="D:\practice BI\5\Sales_Profitability_Excel_BI\report\"/>
    </mc:Choice>
  </mc:AlternateContent>
  <xr:revisionPtr revIDLastSave="0" documentId="13_ncr:1_{3A8E1752-CFD0-41F6-9CC9-EE5E3A43702F}" xr6:coauthVersionLast="47" xr6:coauthVersionMax="47" xr10:uidLastSave="{00000000-0000-0000-0000-000000000000}"/>
  <bookViews>
    <workbookView xWindow="-108" yWindow="-108" windowWidth="23256" windowHeight="12576" firstSheet="1" activeTab="7" xr2:uid="{00000000-000D-0000-FFFF-FFFF00000000}"/>
  </bookViews>
  <sheets>
    <sheet name="Sheet2" sheetId="5" r:id="rId1"/>
    <sheet name="Date Pivot" sheetId="3" r:id="rId2"/>
    <sheet name="Total" sheetId="2" r:id="rId3"/>
    <sheet name="Pivot_monthly" sheetId="6" r:id="rId4"/>
    <sheet name="Pivot_Category" sheetId="7" r:id="rId5"/>
    <sheet name="Pivot_Products" sheetId="8" r:id="rId6"/>
    <sheet name="Pivot_City" sheetId="9" r:id="rId7"/>
    <sheet name="Dashboard" sheetId="4" r:id="rId8"/>
  </sheets>
  <definedNames>
    <definedName name="Slicer_Category1">#N/A</definedName>
    <definedName name="Slicer_ProductName">#N/A</definedName>
    <definedName name="Slicer_ProductName1">#N/A</definedName>
    <definedName name="Timeline_Date">#N/A</definedName>
    <definedName name="Timeline_Date1">#N/A</definedName>
  </definedNames>
  <calcPr calcId="181029"/>
  <pivotCaches>
    <pivotCache cacheId="99" r:id="rId9"/>
    <pivotCache cacheId="104" r:id="rId10"/>
    <pivotCache cacheId="109" r:id="rId11"/>
    <pivotCache cacheId="112" r:id="rId12"/>
    <pivotCache cacheId="115" r:id="rId13"/>
    <pivotCache cacheId="118" r:id="rId14"/>
    <pivotCache cacheId="121" r:id="rId15"/>
    <pivotCache cacheId="124" r:id="rId16"/>
    <pivotCache cacheId="127" r:id="rId17"/>
  </pivotCaches>
  <extLst>
    <ext xmlns:x14="http://schemas.microsoft.com/office/spreadsheetml/2009/9/main" uri="{876F7934-8845-4945-9796-88D515C7AA90}">
      <x14:pivotCaches>
        <pivotCache cacheId="102" r:id="rId18"/>
        <pivotCache cacheId="107"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3" r:id="rId23"/>
        <pivotCache cacheId="108" r:id="rId24"/>
      </x15:timelineCachePivotCaches>
    </ext>
    <ext xmlns:x15="http://schemas.microsoft.com/office/spreadsheetml/2010/11/main" uri="{D0CA8CA8-9F24-4464-BF8E-62219DCF47F9}">
      <x15:timelineCacheRefs>
        <x15:timelineCacheRef r:id="rId25"/>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 - products_ea4b1b47-04cf-4bb6-b346-44481e49ee33" name="Q - products" connection="Excel query1"/>
          <x15:modelTable id="Q- Customers_92cae4f9-6934-45dc-960f-1d2fa7551630" name="Q- Customers" connection="Excel query1"/>
          <x15:modelTable id="Q- sales_9217d299-ec0a-498e-957d-e76058eff20f" name="Q- sales" connection="Excel query1"/>
          <x15:modelTable id="Date Table_cd210d9b-7880-4b69-902c-c4148ec7451f" name="Date Table" connection="Excel Sales1"/>
        </x15:modelTables>
        <x15:modelRelationships>
          <x15:modelRelationship fromTable="Q- sales" fromColumn="CustomerID" toTable="Q- Customers" toColumn="CustomerID"/>
          <x15:modelRelationship fromTable="Q- sales" fromColumn="ProductID" toTable="Q - products" toColumn="ProductID"/>
          <x15:modelRelationship fromTable="Q- sales" fromColumn="Date" toTable="Date Table" toColumn="Date"/>
        </x15:modelRelationships>
        <x15:extLst>
          <ext xmlns:x16="http://schemas.microsoft.com/office/spreadsheetml/2014/11/main" uri="{9835A34E-60A6-4A7C-AAB8-D5F71C897F49}">
            <x16:modelTimeGroupings>
              <x16:modelTimeGrouping tableName="Q- sale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I5" i="4" l="1"/>
  <c r="E5" i="4"/>
  <c r="A5" i="4"/>
  <c r="M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5AA35A-7A10-44D1-9640-72B2F057AA57}" name="Excel query1" type="100" refreshedVersion="7">
    <extLst>
      <ext xmlns:x15="http://schemas.microsoft.com/office/spreadsheetml/2010/11/main" uri="{DE250136-89BD-433C-8126-D09CA5730AF9}">
        <x15:connection id="fb6f9a95-80d8-49d3-a8ae-63f594b1ceb4"/>
      </ext>
    </extLst>
  </connection>
  <connection id="2" xr16:uid="{F7081B85-CBE9-4A69-82DA-B95A1319FFDB}" name="Excel Sales1" type="100" refreshedVersion="7">
    <extLst>
      <ext xmlns:x15="http://schemas.microsoft.com/office/spreadsheetml/2010/11/main" uri="{DE250136-89BD-433C-8126-D09CA5730AF9}">
        <x15:connection id="e8f28225-95d7-4a1a-82c7-069bcc06a0a9"/>
      </ext>
    </extLst>
  </connection>
  <connection id="3" xr16:uid="{C6758731-E406-4CC6-96BF-EFCF9E3012D6}"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<sst xmlns="http://schemas.openxmlformats.org/spreadsheetml/2006/main" count="85" uniqueCount="38">
  <si>
    <t>Row Labels</t>
  </si>
  <si>
    <t>Grand Total</t>
  </si>
  <si>
    <t>Total Revenue</t>
  </si>
  <si>
    <t>Total Profit</t>
  </si>
  <si>
    <t>Profit Margine %</t>
  </si>
  <si>
    <t>Beverage</t>
  </si>
  <si>
    <t>Dry Fruit</t>
  </si>
  <si>
    <t>Food</t>
  </si>
  <si>
    <t>Category Share %</t>
  </si>
  <si>
    <t>Column Labels</t>
  </si>
  <si>
    <t>Jan</t>
  </si>
  <si>
    <t>Feb</t>
  </si>
  <si>
    <t>Product Share %</t>
  </si>
  <si>
    <t>Green Tea</t>
  </si>
  <si>
    <t>Organic Honey</t>
  </si>
  <si>
    <t>Mint</t>
  </si>
  <si>
    <t>Almonds</t>
  </si>
  <si>
    <t>Mar</t>
  </si>
  <si>
    <t>Apr</t>
  </si>
  <si>
    <t>May</t>
  </si>
  <si>
    <t>Jun</t>
  </si>
  <si>
    <t>Jul</t>
  </si>
  <si>
    <t>Aug</t>
  </si>
  <si>
    <t>Sep</t>
  </si>
  <si>
    <t>Oct</t>
  </si>
  <si>
    <t>Nov</t>
  </si>
  <si>
    <t>Dec</t>
  </si>
  <si>
    <t>Dates</t>
  </si>
  <si>
    <t>Tahini</t>
  </si>
  <si>
    <t>Sales &amp; Profitability Dashboard</t>
  </si>
  <si>
    <t>Profit Margin %</t>
  </si>
  <si>
    <t>Total Sales</t>
  </si>
  <si>
    <t>Total sales</t>
  </si>
  <si>
    <t>Isfahan</t>
  </si>
  <si>
    <t>Mashhad</t>
  </si>
  <si>
    <t>Shiraz</t>
  </si>
  <si>
    <t>Tabriz</t>
  </si>
  <si>
    <t>Tehran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</si>
</sst>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20"/>
      <color theme="0"/>
      <name val="Calibri"/>
      <family val="2"/>
      <scheme val="minor"/>
    </font>
    <font>
      <b/>
      <sz val="18"/>
      <color theme="1"/>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theme="3"/>
        <bgColor indexed="64"/>
      </patternFill>
    </fill>
    <fill>
      <patternFill patternType="solid">
        <fgColor theme="4" tint="0.79998168889431442"/>
        <bgColor indexed="64"/>
      </patternFill>
    </fill>
  </fills>
  <borders count="1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3" fontId="1" fillId="0" borderId="0" applyFont="0" applyFill="0" applyBorder="0" applyAlignment="0" applyProtection="0"/>
  </cellStyleXfs>
  <cellXfs count="30">
    <xf numFmtId="0" fontId="0" fillId="0" borderId="0" xfId="0"/>
    <xf numFmtId="0" fontId="0" fillId="0" borderId="0" xfId="0" pivotButton="1"/>
    <xf numFmtId="0" fontId="0" fillId="2" borderId="2" xfId="0" applyFill="1" applyBorder="1"/>
    <xf numFmtId="0" fontId="0" fillId="2" borderId="3" xfId="0" applyFill="1" applyBorder="1"/>
    <xf numFmtId="0" fontId="0" fillId="2" borderId="4" xfId="0" applyFill="1" applyBorder="1" applyAlignment="1">
      <alignment horizontal="left" indent="1"/>
    </xf>
    <xf numFmtId="0" fontId="0" fillId="2" borderId="4" xfId="0" applyFill="1" applyBorder="1" applyAlignment="1">
      <alignment horizontal="left" indent="2"/>
    </xf>
    <xf numFmtId="164" fontId="0" fillId="2" borderId="7" xfId="0" applyNumberFormat="1" applyFill="1" applyBorder="1"/>
    <xf numFmtId="0" fontId="0" fillId="3" borderId="1" xfId="0" applyFill="1" applyBorder="1"/>
    <xf numFmtId="0" fontId="0" fillId="3" borderId="4" xfId="0" applyFill="1" applyBorder="1" applyAlignment="1">
      <alignment horizontal="left"/>
    </xf>
    <xf numFmtId="0" fontId="0" fillId="3" borderId="6" xfId="0" applyFill="1" applyBorder="1" applyAlignment="1">
      <alignment horizontal="left"/>
    </xf>
    <xf numFmtId="0" fontId="0" fillId="0" borderId="0" xfId="0" applyAlignment="1">
      <alignment horizontal="left"/>
    </xf>
    <xf numFmtId="164" fontId="0" fillId="0" borderId="0" xfId="0" applyNumberFormat="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3" fillId="4" borderId="0" xfId="0" applyFont="1" applyFill="1" applyAlignment="1">
      <alignment horizontal="center" vertical="center"/>
    </xf>
    <xf numFmtId="0" fontId="2" fillId="4" borderId="0" xfId="0" applyFont="1" applyFill="1" applyAlignment="1">
      <alignment horizontal="center" vertical="center"/>
    </xf>
    <xf numFmtId="3" fontId="4" fillId="5" borderId="0" xfId="1" applyNumberFormat="1" applyFont="1" applyFill="1" applyAlignment="1">
      <alignment horizontal="center" vertical="center"/>
    </xf>
    <xf numFmtId="10" fontId="4" fillId="5" borderId="0" xfId="1" applyNumberFormat="1" applyFont="1" applyFill="1" applyAlignment="1">
      <alignment horizontal="center" vertical="center"/>
    </xf>
    <xf numFmtId="0" fontId="0" fillId="0" borderId="0" xfId="0" applyNumberFormat="1"/>
    <xf numFmtId="0" fontId="0" fillId="2" borderId="0" xfId="0" applyNumberFormat="1" applyFill="1" applyBorder="1"/>
    <xf numFmtId="0" fontId="0" fillId="2" borderId="5" xfId="0" applyNumberFormat="1" applyFill="1" applyBorder="1"/>
    <xf numFmtId="164" fontId="0" fillId="2" borderId="0" xfId="0" applyNumberFormat="1" applyFill="1" applyBorder="1"/>
    <xf numFmtId="0" fontId="0" fillId="2" borderId="8" xfId="0" applyNumberFormat="1" applyFill="1" applyBorder="1"/>
  </cellXfs>
  <cellStyles count="2">
    <cellStyle name="Comma" xfId="1" builtinId="3"/>
    <cellStyle name="Normal" xfId="0" builtinId="0"/>
  </cellStyles>
  <dxfs count="42">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horizontal/>
      </border>
    </dxf>
    <dxf>
      <border>
        <vertical/>
        <horizontal/>
      </border>
    </dxf>
    <dxf>
      <border>
        <vertical/>
        <horizontal/>
      </border>
    </dxf>
    <dxf>
      <border>
        <vertical/>
        <horizontal/>
      </border>
    </dxf>
    <dxf>
      <border>
        <vertical/>
        <horizontal/>
      </border>
    </dxf>
    <dxf>
      <border>
        <vertical/>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vertical/>
        <horizontal/>
      </border>
    </dxf>
    <dxf>
      <border>
        <vertical/>
        <horizontal/>
      </border>
    </dxf>
    <dxf>
      <border>
        <vertical/>
        <horizontal/>
      </border>
    </dxf>
    <dxf>
      <border>
        <vertical/>
        <horizontal/>
      </border>
    </dxf>
    <dxf>
      <border>
        <vertical/>
        <horizontal/>
      </border>
    </dxf>
    <dxf>
      <border>
        <vertical/>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11/relationships/timelineCache" Target="timelineCaches/timelineCache2.xml"/><Relationship Id="rId39" Type="http://schemas.openxmlformats.org/officeDocument/2006/relationships/customXml" Target="../customXml/item7.xml"/><Relationship Id="rId21" Type="http://schemas.microsoft.com/office/2007/relationships/slicerCache" Target="slicerCaches/slicerCach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11/relationships/timelineCache" Target="timelineCaches/timeline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microsoft.com/office/2007/relationships/slicerCache" Target="slicerCaches/slicerCache1.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2.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[Sales_Profitability_Dashboard.xlsx]Date Pivot!PivotTable1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a-IR"/>
              <a:t>نمودار سود و سهم تولید</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'Date Pivot'!$C$3</c:f>
              <c:strCache>
                <c:ptCount val="1"/>
                <c:pt idx="0">
                  <c:v>Product Share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'Date Pivot'!$B$4:$B$10</c:f>
              <c:multiLvlStrCache>
                <c:ptCount val="2"/>
                <c:lvl>
                  <c:pt idx="0">
                    <c:v>Dry Fruit</c:v>
                  </c:pt>
                  <c:pt idx="1">
                    <c:v>Dry Fruit</c:v>
                  </c:pt>
                </c:lvl>
                <c:lvl>
                  <c:pt idx="0">
                    <c:v>Almonds</c:v>
                  </c:pt>
                  <c:pt idx="1">
                    <c:v>Almonds</c:v>
                  </c:pt>
                </c:lvl>
                <c:lvl>
                  <c:pt idx="0">
                    <c:v>Jan</c:v>
                  </c:pt>
                  <c:pt idx="1">
                    <c:v>Feb</c:v>
                  </c:pt>
                </c:lvl>
              </c:multiLvlStrCache>
            </c:multiLvlStrRef>
          </c:cat>
          <c:val>
            <c:numRef>
              <c:f>'Date Pivot'!$C$4:$C$10</c:f>
              <c:numCache>
                <c:formatCode>0%;\-0%;0%</c:formatCode>
                <c:ptCount val="2"/>
                <c:pt idx="0">
                  <c:v>0.1203956343792633</c:v>
                </c:pt>
                <c:pt idx="1">
                  <c:v>0.1046048891415577</c:v>
                </c:pt>
              </c:numCache>
            </c:numRef>
          </c:val>
          <c:extLst>
            <c:ext xmlns:c16="http://schemas.microsoft.com/office/drawing/2014/chart" uri="{C3380CC4-5D6E-409C-BE32-E72D297353CC}">
              <c16:uniqueId val="{00000004-D7D9-4594-A5F7-2E362C1E6EC0}"/>
            </c:ext>
          </c:extLst>
        </c:ser>
        <c:ser>
          <c:idx val="1"/>
          <c:order val="1"/>
          <c:tx>
            <c:strRef>
              <c:f>'Date Pivot'!$D$3</c:f>
              <c:strCache>
                <c:ptCount val="1"/>
                <c:pt idx="0">
                  <c:v>Profit Margine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'Date Pivot'!$B$4:$B$10</c:f>
              <c:multiLvlStrCache>
                <c:ptCount val="2"/>
                <c:lvl>
                  <c:pt idx="0">
                    <c:v>Dry Fruit</c:v>
                  </c:pt>
                  <c:pt idx="1">
                    <c:v>Dry Fruit</c:v>
                  </c:pt>
                </c:lvl>
                <c:lvl>
                  <c:pt idx="0">
                    <c:v>Almonds</c:v>
                  </c:pt>
                  <c:pt idx="1">
                    <c:v>Almonds</c:v>
                  </c:pt>
                </c:lvl>
                <c:lvl>
                  <c:pt idx="0">
                    <c:v>Jan</c:v>
                  </c:pt>
                  <c:pt idx="1">
                    <c:v>Feb</c:v>
                  </c:pt>
                </c:lvl>
              </c:multiLvlStrCache>
            </c:multiLvlStrRef>
          </c:cat>
          <c:val>
            <c:numRef>
              <c:f>'Date Pivot'!$D$4:$D$10</c:f>
              <c:numCache>
                <c:formatCode>0%;\-0%;0%</c:formatCode>
                <c:ptCount val="2"/>
                <c:pt idx="0">
                  <c:v>0.41359773371104813</c:v>
                </c:pt>
                <c:pt idx="1">
                  <c:v>0.41304347826086957</c:v>
                </c:pt>
              </c:numCache>
            </c:numRef>
          </c:val>
          <c:extLst>
            <c:ext xmlns:c16="http://schemas.microsoft.com/office/drawing/2014/chart" uri="{C3380CC4-5D6E-409C-BE32-E72D297353CC}">
              <c16:uniqueId val="{00000005-D7D9-4594-A5F7-2E362C1E6EC0}"/>
            </c:ext>
          </c:extLst>
        </c:ser>
        <c:ser>
          <c:idx val="2"/>
          <c:order val="2"/>
          <c:tx>
            <c:strRef>
              <c:f>'Date Pivot'!$E$3</c:f>
              <c:strCache>
                <c:ptCount val="1"/>
                <c:pt idx="0">
                  <c:v>Total Profit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'Date Pivot'!$B$4:$B$10</c:f>
              <c:multiLvlStrCache>
                <c:ptCount val="2"/>
                <c:lvl>
                  <c:pt idx="0">
                    <c:v>Dry Fruit</c:v>
                  </c:pt>
                  <c:pt idx="1">
                    <c:v>Dry Fruit</c:v>
                  </c:pt>
                </c:lvl>
                <c:lvl>
                  <c:pt idx="0">
                    <c:v>Almonds</c:v>
                  </c:pt>
                  <c:pt idx="1">
                    <c:v>Almonds</c:v>
                  </c:pt>
                </c:lvl>
                <c:lvl>
                  <c:pt idx="0">
                    <c:v>Jan</c:v>
                  </c:pt>
                  <c:pt idx="1">
                    <c:v>Feb</c:v>
                  </c:pt>
                </c:lvl>
              </c:multiLvlStrCache>
            </c:multiLvlStrRef>
          </c:cat>
          <c:val>
            <c:numRef>
              <c:f>'Date Pivot'!$E$4:$E$10</c:f>
              <c:numCache>
                <c:formatCode>General</c:formatCode>
                <c:ptCount val="2"/>
                <c:pt idx="0">
                  <c:v>146</c:v>
                </c:pt>
                <c:pt idx="1">
                  <c:v>152</c:v>
                </c:pt>
              </c:numCache>
            </c:numRef>
          </c:val>
          <c:extLst>
            <c:ext xmlns:c16="http://schemas.microsoft.com/office/drawing/2014/chart" uri="{C3380CC4-5D6E-409C-BE32-E72D297353CC}">
              <c16:uniqueId val="{00000007-D7D9-4594-A5F7-2E362C1E6EC0}"/>
            </c:ext>
          </c:extLst>
        </c:ser>
        <c:dLbls>
          <c:dLblPos val="inEnd"/>
          <c:showLegendKey val="0"/>
          <c:showVal val="1"/>
          <c:showCatName val="0"/>
          <c:showSerName val="0"/>
          <c:showPercent val="0"/>
          <c:showBubbleSize val="0"/>
        </c:dLbls>
        <c:gapWidth val="315"/>
        <c:overlap val="-40"/>
        <c:axId val="1040738735"/>
        <c:axId val="1040739567"/>
      </c:barChart>
      <c:catAx>
        <c:axId val="10407387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40739567"/>
        <c:crosses val="autoZero"/>
        <c:auto val="1"/>
        <c:lblAlgn val="ctr"/>
        <c:lblOffset val="100"/>
        <c:noMultiLvlLbl val="0"/>
      </c:catAx>
      <c:valAx>
        <c:axId val="1040739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r>
                  <a:rPr lang="fa-IR" sz="1200"/>
                  <a:t>درصد - و مقدار</a:t>
                </a:r>
                <a:endParaRPr lang="en-US" sz="1200"/>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40738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[Sales_Profitability_Dashboard.xlsx]Total!PivotTable1</c:name>
    <c:fmtId val="0"/>
  </c:pivotSource>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US">
                <a:solidFill>
                  <a:schemeClr val="lt1"/>
                </a:solidFill>
                <a:latin typeface="+mn-lt"/>
                <a:ea typeface="+mn-ea"/>
                <a:cs typeface="+mn-cs"/>
              </a:rPr>
              <a:t>Sales &amp; Profitability</a:t>
            </a:r>
            <a:endParaRPr lang="en-US"/>
          </a:p>
        </c:rich>
      </c:tx>
      <c:overlay val="0"/>
      <c:spPr>
        <a:solidFill>
          <a:schemeClr val="accent1"/>
        </a:soli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Total!$C$3</c:f>
              <c:strCache>
                <c:ptCount val="1"/>
                <c:pt idx="0">
                  <c:v>Profit Margine %</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Total!$B$4:$B$7</c:f>
              <c:strCache>
                <c:ptCount val="3"/>
                <c:pt idx="0">
                  <c:v>Beverage</c:v>
                </c:pt>
                <c:pt idx="1">
                  <c:v>Dry Fruit</c:v>
                </c:pt>
                <c:pt idx="2">
                  <c:v>Food</c:v>
                </c:pt>
              </c:strCache>
            </c:strRef>
          </c:cat>
          <c:val>
            <c:numRef>
              <c:f>Total!$C$4:$C$7</c:f>
              <c:numCache>
                <c:formatCode>0%;\-0%;0%</c:formatCode>
                <c:ptCount val="3"/>
                <c:pt idx="0">
                  <c:v>0.49774462179042334</c:v>
                </c:pt>
                <c:pt idx="1">
                  <c:v>0.41987615163872527</c:v>
                </c:pt>
                <c:pt idx="2">
                  <c:v>0.36828433857070453</c:v>
                </c:pt>
              </c:numCache>
            </c:numRef>
          </c:val>
          <c:extLst>
            <c:ext xmlns:c16="http://schemas.microsoft.com/office/drawing/2014/chart" uri="{C3380CC4-5D6E-409C-BE32-E72D297353CC}">
              <c16:uniqueId val="{00000000-82E8-499E-BC94-AF0C8A2A25EA}"/>
            </c:ext>
          </c:extLst>
        </c:ser>
        <c:ser>
          <c:idx val="1"/>
          <c:order val="1"/>
          <c:tx>
            <c:strRef>
              <c:f>Total!$D$3</c:f>
              <c:strCache>
                <c:ptCount val="1"/>
                <c:pt idx="0">
                  <c:v>Category Share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Total!$B$4:$B$7</c:f>
              <c:strCache>
                <c:ptCount val="3"/>
                <c:pt idx="0">
                  <c:v>Beverage</c:v>
                </c:pt>
                <c:pt idx="1">
                  <c:v>Dry Fruit</c:v>
                </c:pt>
                <c:pt idx="2">
                  <c:v>Food</c:v>
                </c:pt>
              </c:strCache>
            </c:strRef>
          </c:cat>
          <c:val>
            <c:numRef>
              <c:f>Total!$D$4:$D$7</c:f>
              <c:numCache>
                <c:formatCode>0%;\-0%;0%</c:formatCode>
                <c:ptCount val="3"/>
                <c:pt idx="0">
                  <c:v>0.44268653277523906</c:v>
                </c:pt>
                <c:pt idx="1">
                  <c:v>0.25425290887446717</c:v>
                </c:pt>
                <c:pt idx="2">
                  <c:v>0.30306055835029377</c:v>
                </c:pt>
              </c:numCache>
            </c:numRef>
          </c:val>
          <c:extLst>
            <c:ext xmlns:c16="http://schemas.microsoft.com/office/drawing/2014/chart" uri="{C3380CC4-5D6E-409C-BE32-E72D297353CC}">
              <c16:uniqueId val="{00000001-82E8-499E-BC94-AF0C8A2A25EA}"/>
            </c:ext>
          </c:extLst>
        </c:ser>
        <c:ser>
          <c:idx val="2"/>
          <c:order val="2"/>
          <c:tx>
            <c:strRef>
              <c:f>Total!$E$3</c:f>
              <c:strCache>
                <c:ptCount val="1"/>
                <c:pt idx="0">
                  <c:v>Total Profit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Total!$B$4:$B$7</c:f>
              <c:strCache>
                <c:ptCount val="3"/>
                <c:pt idx="0">
                  <c:v>Beverage</c:v>
                </c:pt>
                <c:pt idx="1">
                  <c:v>Dry Fruit</c:v>
                </c:pt>
                <c:pt idx="2">
                  <c:v>Food</c:v>
                </c:pt>
              </c:strCache>
            </c:strRef>
          </c:cat>
          <c:val>
            <c:numRef>
              <c:f>Total!$E$4:$E$7</c:f>
              <c:numCache>
                <c:formatCode>General</c:formatCode>
                <c:ptCount val="3"/>
                <c:pt idx="0">
                  <c:v>11476</c:v>
                </c:pt>
                <c:pt idx="1">
                  <c:v>5560</c:v>
                </c:pt>
                <c:pt idx="2">
                  <c:v>5813</c:v>
                </c:pt>
              </c:numCache>
            </c:numRef>
          </c:val>
          <c:extLst>
            <c:ext xmlns:c16="http://schemas.microsoft.com/office/drawing/2014/chart" uri="{C3380CC4-5D6E-409C-BE32-E72D297353CC}">
              <c16:uniqueId val="{00000002-82E8-499E-BC94-AF0C8A2A25EA}"/>
            </c:ext>
          </c:extLst>
        </c:ser>
        <c:ser>
          <c:idx val="3"/>
          <c:order val="3"/>
          <c:tx>
            <c:strRef>
              <c:f>Total!$F$3</c:f>
              <c:strCache>
                <c:ptCount val="1"/>
                <c:pt idx="0">
                  <c:v>Total Revenue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Total!$B$4:$B$7</c:f>
              <c:strCache>
                <c:ptCount val="3"/>
                <c:pt idx="0">
                  <c:v>Beverage</c:v>
                </c:pt>
                <c:pt idx="1">
                  <c:v>Dry Fruit</c:v>
                </c:pt>
                <c:pt idx="2">
                  <c:v>Food</c:v>
                </c:pt>
              </c:strCache>
            </c:strRef>
          </c:cat>
          <c:val>
            <c:numRef>
              <c:f>Total!$F$4:$F$7</c:f>
              <c:numCache>
                <c:formatCode>General</c:formatCode>
                <c:ptCount val="3"/>
                <c:pt idx="0">
                  <c:v>23056</c:v>
                </c:pt>
                <c:pt idx="1">
                  <c:v>13242</c:v>
                </c:pt>
                <c:pt idx="2">
                  <c:v>15784</c:v>
                </c:pt>
              </c:numCache>
            </c:numRef>
          </c:val>
          <c:extLst>
            <c:ext xmlns:c16="http://schemas.microsoft.com/office/drawing/2014/chart" uri="{C3380CC4-5D6E-409C-BE32-E72D297353CC}">
              <c16:uniqueId val="{00000003-82E8-499E-BC94-AF0C8A2A25EA}"/>
            </c:ext>
          </c:extLst>
        </c:ser>
        <c:dLbls>
          <c:dLblPos val="outEnd"/>
          <c:showLegendKey val="0"/>
          <c:showVal val="1"/>
          <c:showCatName val="0"/>
          <c:showSerName val="0"/>
          <c:showPercent val="0"/>
          <c:showBubbleSize val="0"/>
        </c:dLbls>
        <c:gapWidth val="315"/>
        <c:overlap val="-40"/>
        <c:axId val="1603987616"/>
        <c:axId val="1603987200"/>
      </c:barChart>
      <c:catAx>
        <c:axId val="16039876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3987200"/>
        <c:crosses val="autoZero"/>
        <c:auto val="1"/>
        <c:lblAlgn val="ctr"/>
        <c:lblOffset val="100"/>
        <c:noMultiLvlLbl val="0"/>
      </c:catAx>
      <c:valAx>
        <c:axId val="1603987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398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[Sales_Profitability_Dashboard.xlsx]Total!PivotTable2</c:name>
    <c:fmtId val="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dk1"/>
                </a:solidFill>
                <a:latin typeface="+mn-lt"/>
                <a:ea typeface="+mn-ea"/>
                <a:cs typeface="+mn-cs"/>
              </a:rPr>
              <a:t>Category Share %</a:t>
            </a:r>
            <a:endParaRPr lang="en-US"/>
          </a:p>
        </c:rich>
      </c:tx>
      <c:overlay val="0"/>
      <c:spPr>
        <a:solidFill>
          <a:schemeClr val="accent4">
            <a:lumMod val="60000"/>
            <a:lumOff val="40000"/>
          </a:schemeClr>
        </a:solidFill>
        <a:ln w="6350" cap="flat" cmpd="sng" algn="ctr">
          <a:solidFill>
            <a:schemeClr val="dk1"/>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Total!$C$21:$C$22</c:f>
              <c:strCache>
                <c:ptCount val="1"/>
                <c:pt idx="0">
                  <c:v>Jan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142-4AB3-8071-4B03D633BB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142-4AB3-8071-4B03D633BBD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142-4AB3-8071-4B03D633BB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Total!$C$23:$C$26</c:f>
              <c:numCache>
                <c:formatCode>0%;\-0%;0%</c:formatCode>
                <c:ptCount val="3"/>
                <c:pt idx="0">
                  <c:v>0.65381991814461116</c:v>
                </c:pt>
                <c:pt idx="1">
                  <c:v>0.2008867667121419</c:v>
                </c:pt>
                <c:pt idx="2">
                  <c:v>0.14529331514324692</c:v>
                </c:pt>
              </c:numCache>
            </c:numRef>
          </c:val>
          <c:extLst>
            <c:ext xmlns:c16="http://schemas.microsoft.com/office/drawing/2014/chart" uri="{C3380CC4-5D6E-409C-BE32-E72D297353CC}">
              <c16:uniqueId val="{00000000-F5E6-4AF4-B7DC-FBDEC8A6B140}"/>
            </c:ext>
          </c:extLst>
        </c:ser>
        <c:ser>
          <c:idx val="1"/>
          <c:order val="1"/>
          <c:tx>
            <c:strRef>
              <c:f>Total!$D$21:$D$22</c:f>
              <c:strCache>
                <c:ptCount val="1"/>
                <c:pt idx="0">
                  <c:v>Feb</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Total!$D$23:$D$26</c:f>
              <c:numCache>
                <c:formatCode>0%;\-0%;0%</c:formatCode>
                <c:ptCount val="3"/>
                <c:pt idx="0">
                  <c:v>0.51733939738487777</c:v>
                </c:pt>
                <c:pt idx="1">
                  <c:v>0.21716884593519045</c:v>
                </c:pt>
                <c:pt idx="2">
                  <c:v>0.2654917566799318</c:v>
                </c:pt>
              </c:numCache>
            </c:numRef>
          </c:val>
          <c:extLst>
            <c:ext xmlns:c16="http://schemas.microsoft.com/office/drawing/2014/chart" uri="{C3380CC4-5D6E-409C-BE32-E72D297353CC}">
              <c16:uniqueId val="{00000048-8142-4AB3-8071-4B03D633BBD2}"/>
            </c:ext>
          </c:extLst>
        </c:ser>
        <c:ser>
          <c:idx val="2"/>
          <c:order val="2"/>
          <c:tx>
            <c:strRef>
              <c:f>Total!$E$21:$E$22</c:f>
              <c:strCache>
                <c:ptCount val="1"/>
                <c:pt idx="0">
                  <c:v>Mar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Total!$E$23:$E$26</c:f>
              <c:numCache>
                <c:formatCode>0%;\-0%;0%</c:formatCode>
                <c:ptCount val="3"/>
                <c:pt idx="0">
                  <c:v>0.22715404699738903</c:v>
                </c:pt>
                <c:pt idx="1">
                  <c:v>0.33014215259646068</c:v>
                </c:pt>
                <c:pt idx="2">
                  <c:v>0.44270380040615026</c:v>
                </c:pt>
              </c:numCache>
            </c:numRef>
          </c:val>
          <c:extLst>
            <c:ext xmlns:c16="http://schemas.microsoft.com/office/drawing/2014/chart" uri="{C3380CC4-5D6E-409C-BE32-E72D297353CC}">
              <c16:uniqueId val="{00000049-8142-4AB3-8071-4B03D633BBD2}"/>
            </c:ext>
          </c:extLst>
        </c:ser>
        <c:ser>
          <c:idx val="3"/>
          <c:order val="3"/>
          <c:tx>
            <c:strRef>
              <c:f>Total!$F$21:$F$22</c:f>
              <c:strCache>
                <c:ptCount val="1"/>
                <c:pt idx="0">
                  <c:v>Apr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Total!$F$23:$F$26</c:f>
              <c:numCache>
                <c:formatCode>0%;\-0%;0%</c:formatCode>
                <c:ptCount val="3"/>
                <c:pt idx="0">
                  <c:v>0.25603511338697876</c:v>
                </c:pt>
                <c:pt idx="1">
                  <c:v>0.3384540356010729</c:v>
                </c:pt>
                <c:pt idx="2">
                  <c:v>0.40551085101194828</c:v>
                </c:pt>
              </c:numCache>
            </c:numRef>
          </c:val>
          <c:extLst>
            <c:ext xmlns:c16="http://schemas.microsoft.com/office/drawing/2014/chart" uri="{C3380CC4-5D6E-409C-BE32-E72D297353CC}">
              <c16:uniqueId val="{0000004A-8142-4AB3-8071-4B03D633BBD2}"/>
            </c:ext>
          </c:extLst>
        </c:ser>
        <c:ser>
          <c:idx val="4"/>
          <c:order val="4"/>
          <c:tx>
            <c:strRef>
              <c:f>Total!$G$21:$G$22</c:f>
              <c:strCache>
                <c:ptCount val="1"/>
                <c:pt idx="0">
                  <c:v>May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Total!$G$23:$G$26</c:f>
              <c:numCache>
                <c:formatCode>0%;\-0%;0%</c:formatCode>
                <c:ptCount val="3"/>
                <c:pt idx="0">
                  <c:v>0.47354497354497355</c:v>
                </c:pt>
                <c:pt idx="1">
                  <c:v>0.26543209876543211</c:v>
                </c:pt>
                <c:pt idx="2">
                  <c:v>0.26102292768959434</c:v>
                </c:pt>
              </c:numCache>
            </c:numRef>
          </c:val>
          <c:extLst>
            <c:ext xmlns:c16="http://schemas.microsoft.com/office/drawing/2014/chart" uri="{C3380CC4-5D6E-409C-BE32-E72D297353CC}">
              <c16:uniqueId val="{0000004B-8142-4AB3-8071-4B03D633BBD2}"/>
            </c:ext>
          </c:extLst>
        </c:ser>
        <c:ser>
          <c:idx val="5"/>
          <c:order val="5"/>
          <c:tx>
            <c:strRef>
              <c:f>Total!$H$21:$H$22</c:f>
              <c:strCache>
                <c:ptCount val="1"/>
                <c:pt idx="0">
                  <c:v>Jun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Total!$H$23:$H$26</c:f>
              <c:numCache>
                <c:formatCode>0%;\-0%;0%</c:formatCode>
                <c:ptCount val="3"/>
                <c:pt idx="0">
                  <c:v>0.39524003254678602</c:v>
                </c:pt>
                <c:pt idx="1">
                  <c:v>0.20117982099267698</c:v>
                </c:pt>
                <c:pt idx="2">
                  <c:v>0.40358014646053703</c:v>
                </c:pt>
              </c:numCache>
            </c:numRef>
          </c:val>
          <c:extLst>
            <c:ext xmlns:c16="http://schemas.microsoft.com/office/drawing/2014/chart" uri="{C3380CC4-5D6E-409C-BE32-E72D297353CC}">
              <c16:uniqueId val="{0000004C-8142-4AB3-8071-4B03D633BBD2}"/>
            </c:ext>
          </c:extLst>
        </c:ser>
        <c:ser>
          <c:idx val="6"/>
          <c:order val="6"/>
          <c:tx>
            <c:strRef>
              <c:f>Total!$I$21:$I$22</c:f>
              <c:strCache>
                <c:ptCount val="1"/>
                <c:pt idx="0">
                  <c:v>Jul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Total!$I$23:$I$26</c:f>
              <c:numCache>
                <c:formatCode>0%;\-0%;0%</c:formatCode>
                <c:ptCount val="3"/>
                <c:pt idx="0">
                  <c:v>0.51883910386965382</c:v>
                </c:pt>
                <c:pt idx="1">
                  <c:v>0.11863543788187372</c:v>
                </c:pt>
                <c:pt idx="2">
                  <c:v>0.36252545824847249</c:v>
                </c:pt>
              </c:numCache>
            </c:numRef>
          </c:val>
          <c:extLst>
            <c:ext xmlns:c16="http://schemas.microsoft.com/office/drawing/2014/chart" uri="{C3380CC4-5D6E-409C-BE32-E72D297353CC}">
              <c16:uniqueId val="{0000004D-8142-4AB3-8071-4B03D633BBD2}"/>
            </c:ext>
          </c:extLst>
        </c:ser>
        <c:ser>
          <c:idx val="7"/>
          <c:order val="7"/>
          <c:tx>
            <c:strRef>
              <c:f>Total!$J$21:$J$22</c:f>
              <c:strCache>
                <c:ptCount val="1"/>
                <c:pt idx="0">
                  <c:v>Aug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Total!$J$23:$J$26</c:f>
              <c:numCache>
                <c:formatCode>0%;\-0%;0%</c:formatCode>
                <c:ptCount val="3"/>
                <c:pt idx="0">
                  <c:v>0.34363502575423105</c:v>
                </c:pt>
                <c:pt idx="1">
                  <c:v>0.3394652931076772</c:v>
                </c:pt>
                <c:pt idx="2">
                  <c:v>0.31689968113809175</c:v>
                </c:pt>
              </c:numCache>
            </c:numRef>
          </c:val>
          <c:extLst>
            <c:ext xmlns:c16="http://schemas.microsoft.com/office/drawing/2014/chart" uri="{C3380CC4-5D6E-409C-BE32-E72D297353CC}">
              <c16:uniqueId val="{0000004E-8142-4AB3-8071-4B03D633BBD2}"/>
            </c:ext>
          </c:extLst>
        </c:ser>
        <c:ser>
          <c:idx val="8"/>
          <c:order val="8"/>
          <c:tx>
            <c:strRef>
              <c:f>Total!$K$21:$K$22</c:f>
              <c:strCache>
                <c:ptCount val="1"/>
                <c:pt idx="0">
                  <c:v>Sep</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Total!$K$23:$K$26</c:f>
              <c:numCache>
                <c:formatCode>0%;\-0%;0%</c:formatCode>
                <c:ptCount val="3"/>
                <c:pt idx="0">
                  <c:v>0.35588972431077692</c:v>
                </c:pt>
                <c:pt idx="1">
                  <c:v>0.52105263157894732</c:v>
                </c:pt>
                <c:pt idx="2">
                  <c:v>0.12305764411027569</c:v>
                </c:pt>
              </c:numCache>
            </c:numRef>
          </c:val>
          <c:extLst>
            <c:ext xmlns:c16="http://schemas.microsoft.com/office/drawing/2014/chart" uri="{C3380CC4-5D6E-409C-BE32-E72D297353CC}">
              <c16:uniqueId val="{0000004F-8142-4AB3-8071-4B03D633BBD2}"/>
            </c:ext>
          </c:extLst>
        </c:ser>
        <c:ser>
          <c:idx val="9"/>
          <c:order val="9"/>
          <c:tx>
            <c:strRef>
              <c:f>Total!$L$21:$L$22</c:f>
              <c:strCache>
                <c:ptCount val="1"/>
                <c:pt idx="0">
                  <c:v>Oct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Total!$L$23:$L$26</c:f>
              <c:numCache>
                <c:formatCode>0%;\-0%;0%</c:formatCode>
                <c:ptCount val="3"/>
                <c:pt idx="0">
                  <c:v>0.4968013468013468</c:v>
                </c:pt>
                <c:pt idx="1">
                  <c:v>0.24242424242424243</c:v>
                </c:pt>
                <c:pt idx="2">
                  <c:v>0.26077441077441077</c:v>
                </c:pt>
              </c:numCache>
            </c:numRef>
          </c:val>
          <c:extLst>
            <c:ext xmlns:c16="http://schemas.microsoft.com/office/drawing/2014/chart" uri="{C3380CC4-5D6E-409C-BE32-E72D297353CC}">
              <c16:uniqueId val="{00000050-8142-4AB3-8071-4B03D633BBD2}"/>
            </c:ext>
          </c:extLst>
        </c:ser>
        <c:ser>
          <c:idx val="10"/>
          <c:order val="10"/>
          <c:tx>
            <c:strRef>
              <c:f>Total!$M$21:$M$22</c:f>
              <c:strCache>
                <c:ptCount val="1"/>
                <c:pt idx="0">
                  <c:v>Nov</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Total!$M$23:$M$26</c:f>
              <c:numCache>
                <c:formatCode>0%;\-0%;0%</c:formatCode>
                <c:ptCount val="3"/>
                <c:pt idx="0">
                  <c:v>0.48610616316351979</c:v>
                </c:pt>
                <c:pt idx="1">
                  <c:v>0.22265764161026005</c:v>
                </c:pt>
                <c:pt idx="2">
                  <c:v>0.29123619522622018</c:v>
                </c:pt>
              </c:numCache>
            </c:numRef>
          </c:val>
          <c:extLst>
            <c:ext xmlns:c16="http://schemas.microsoft.com/office/drawing/2014/chart" uri="{C3380CC4-5D6E-409C-BE32-E72D297353CC}">
              <c16:uniqueId val="{00000051-8142-4AB3-8071-4B03D633BBD2}"/>
            </c:ext>
          </c:extLst>
        </c:ser>
        <c:ser>
          <c:idx val="11"/>
          <c:order val="11"/>
          <c:tx>
            <c:strRef>
              <c:f>Total!$N$21:$N$22</c:f>
              <c:strCache>
                <c:ptCount val="1"/>
                <c:pt idx="0">
                  <c:v>Dec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C006-4D6C-BAD4-CC80D82F59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C006-4D6C-BAD4-CC80D82F59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C006-4D6C-BAD4-CC80D82F59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Total!$B$23:$B$26</c:f>
              <c:strCache>
                <c:ptCount val="3"/>
                <c:pt idx="0">
                  <c:v>Beverage</c:v>
                </c:pt>
                <c:pt idx="1">
                  <c:v>Dry Fruit</c:v>
                </c:pt>
                <c:pt idx="2">
                  <c:v>Food</c:v>
                </c:pt>
              </c:strCache>
            </c:strRef>
          </c:cat>
          <c:val>
            <c:numRef>
              <c:f>Total!$N$23:$N$26</c:f>
              <c:numCache>
                <c:formatCode>0%;\-0%;0%</c:formatCode>
                <c:ptCount val="3"/>
                <c:pt idx="0">
                  <c:v>0.54576162136078499</c:v>
                </c:pt>
                <c:pt idx="1">
                  <c:v>0.1370435901560238</c:v>
                </c:pt>
                <c:pt idx="2">
                  <c:v>0.31719478848319127</c:v>
                </c:pt>
              </c:numCache>
            </c:numRef>
          </c:val>
          <c:extLst>
            <c:ext xmlns:c16="http://schemas.microsoft.com/office/drawing/2014/chart" uri="{C3380CC4-5D6E-409C-BE32-E72D297353CC}">
              <c16:uniqueId val="{00000052-8142-4AB3-8071-4B03D633BBD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[Sales_Profitability_Dashboard.xlsx]Pivot_monthly!PivotTable4</c:name>
    <c:fmtId val="2"/>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Monthly Revenue &amp; Profit Trend</a:t>
            </a: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Pivot_monthly!$C$3</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Pivot_monthly!$B$4:$B$16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Pivot_monthly!$C$4:$C$16</c:f>
              <c:numCache>
                <c:formatCode>General</c:formatCode>
                <c:ptCount val="12"/>
                <c:pt idx="0">
                  <c:v>2932</c:v>
                </c:pt>
                <c:pt idx="1">
                  <c:v>3518</c:v>
                </c:pt>
                <c:pt idx="2">
                  <c:v>3447</c:v>
                </c:pt>
                <c:pt idx="3">
                  <c:v>4101</c:v>
                </c:pt>
                <c:pt idx="4">
                  <c:v>3402</c:v>
                </c:pt>
                <c:pt idx="5">
                  <c:v>4916</c:v>
                </c:pt>
                <c:pt idx="6">
                  <c:v>3928</c:v>
                </c:pt>
                <c:pt idx="7">
                  <c:v>4077</c:v>
                </c:pt>
                <c:pt idx="8">
                  <c:v>3990</c:v>
                </c:pt>
                <c:pt idx="9">
                  <c:v>5940</c:v>
                </c:pt>
                <c:pt idx="10">
                  <c:v>5614</c:v>
                </c:pt>
                <c:pt idx="11">
                  <c:v>6217</c:v>
                </c:pt>
              </c:numCache>
            </c:numRef>
          </c:val>
          <c:smooth val="0"/>
          <c:extLst>
            <c:ext xmlns:c16="http://schemas.microsoft.com/office/drawing/2014/chart" uri="{C3380CC4-5D6E-409C-BE32-E72D297353CC}">
              <c16:uniqueId val="{00000000-F1EE-403F-BB83-141A44A35A72}"/>
            </c:ext>
          </c:extLst>
        </c:ser>
        <c:ser>
          <c:idx val="1"/>
          <c:order val="1"/>
          <c:tx>
            <c:strRef>
              <c:f>Pivot_monthly!$D$3</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Pivot_monthly!$B$4:$B$16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Pivot_monthly!$D$4:$D$16</c:f>
              <c:numCache>
                <c:formatCode>General</c:formatCode>
                <c:ptCount val="12"/>
                <c:pt idx="0">
                  <c:v>1345</c:v>
                </c:pt>
                <c:pt idx="1">
                  <c:v>1539</c:v>
                </c:pt>
                <c:pt idx="2">
                  <c:v>1533</c:v>
                </c:pt>
                <c:pt idx="3">
                  <c:v>1816</c:v>
                </c:pt>
                <c:pt idx="4">
                  <c:v>1396</c:v>
                </c:pt>
                <c:pt idx="5">
                  <c:v>2096</c:v>
                </c:pt>
                <c:pt idx="6">
                  <c:v>1763</c:v>
                </c:pt>
                <c:pt idx="7">
                  <c:v>1759</c:v>
                </c:pt>
                <c:pt idx="8">
                  <c:v>1778</c:v>
                </c:pt>
                <c:pt idx="9">
                  <c:v>2717</c:v>
                </c:pt>
                <c:pt idx="10">
                  <c:v>2541</c:v>
                </c:pt>
                <c:pt idx="11">
                  <c:v>2566</c:v>
                </c:pt>
              </c:numCache>
            </c:numRef>
          </c:val>
          <c:smooth val="0"/>
          <c:extLst>
            <c:ext xmlns:c16="http://schemas.microsoft.com/office/drawing/2014/chart" uri="{C3380CC4-5D6E-409C-BE32-E72D297353CC}">
              <c16:uniqueId val="{00000001-F1EE-403F-BB83-141A44A35A72}"/>
            </c:ext>
          </c:extLst>
        </c:ser>
        <c:dLbls>
          <c:showLegendKey val="0"/>
          <c:showVal val="0"/>
          <c:showCatName val="0"/>
          <c:showSerName val="0"/>
          <c:showPercent val="0"/>
          <c:showBubbleSize val="0"/>
        </c:dLbls>
        <c:marker val="1"/>
        <c:smooth val="0"/>
        <c:axId val="2065048928"/>
        <c:axId val="2065068480"/>
      </c:lineChart>
      <c:catAx>
        <c:axId val="206504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068480"/>
        <c:crosses val="autoZero"/>
        <c:auto val="1"/>
        <c:lblAlgn val="ctr"/>
        <c:lblOffset val="100"/>
        <c:noMultiLvlLbl val="0"/>
      </c:catAx>
      <c:valAx>
        <c:axId val="206506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04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[Sales_Profitability_Dashboard.xlsx]Pivot_Category!PivotTable5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&amp; 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Pivot_Category!$C$3</c:f>
              <c:strCache>
                <c:ptCount val="1"/>
                <c:pt idx="0">
                  <c:v>Total Revenue</c:v>
                </c:pt>
              </c:strCache>
            </c:strRef>
          </c:tx>
          <c:spPr>
            <a:solidFill>
              <a:schemeClr val="accent1"/>
            </a:solidFill>
            <a:ln>
              <a:noFill/>
            </a:ln>
            <a:effectLst/>
          </c:spPr>
          <c:invertIfNegative val="0"/>
          <c:cat>
            <c:strRef>
              <c:f>Pivot_Category!$B$4:$B$7</c:f>
              <c:strCache>
                <c:ptCount val="3"/>
                <c:pt idx="0">
                  <c:v>Beverage</c:v>
                </c:pt>
                <c:pt idx="1">
                  <c:v>Dry Fruit</c:v>
                </c:pt>
                <c:pt idx="2">
                  <c:v>Food</c:v>
                </c:pt>
              </c:strCache>
            </c:strRef>
          </c:cat>
          <c:val>
            <c:numRef>
              <c:f>Pivot_Category!$C$4:$C$7</c:f>
              <c:numCache>
                <c:formatCode>General</c:formatCode>
                <c:ptCount val="3"/>
                <c:pt idx="0">
                  <c:v>23056</c:v>
                </c:pt>
                <c:pt idx="1">
                  <c:v>13242</c:v>
                </c:pt>
                <c:pt idx="2">
                  <c:v>15784</c:v>
                </c:pt>
              </c:numCache>
            </c:numRef>
          </c:val>
          <c:extLst>
            <c:ext xmlns:c16="http://schemas.microsoft.com/office/drawing/2014/chart" uri="{C3380CC4-5D6E-409C-BE32-E72D297353CC}">
              <c16:uniqueId val="{00000000-8F87-437B-AD38-3D0F6C8B137A}"/>
            </c:ext>
          </c:extLst>
        </c:ser>
        <c:ser>
          <c:idx val="1"/>
          <c:order val="1"/>
          <c:tx>
            <c:strRef>
              <c:f>Pivot_Category!$D$3</c:f>
              <c:strCache>
                <c:ptCount val="1"/>
                <c:pt idx="0">
                  <c:v>Total Profit</c:v>
                </c:pt>
              </c:strCache>
            </c:strRef>
          </c:tx>
          <c:spPr>
            <a:solidFill>
              <a:schemeClr val="accent2"/>
            </a:solidFill>
            <a:ln>
              <a:noFill/>
            </a:ln>
            <a:effectLst/>
          </c:spPr>
          <c:invertIfNegative val="0"/>
          <c:cat>
            <c:strRef>
              <c:f>Pivot_Category!$B$4:$B$7</c:f>
              <c:strCache>
                <c:ptCount val="3"/>
                <c:pt idx="0">
                  <c:v>Beverage</c:v>
                </c:pt>
                <c:pt idx="1">
                  <c:v>Dry Fruit</c:v>
                </c:pt>
                <c:pt idx="2">
                  <c:v>Food</c:v>
                </c:pt>
              </c:strCache>
            </c:strRef>
          </c:cat>
          <c:val>
            <c:numRef>
              <c:f>Pivot_Category!$D$4:$D$7</c:f>
              <c:numCache>
                <c:formatCode>General</c:formatCode>
                <c:ptCount val="3"/>
                <c:pt idx="0">
                  <c:v>11476</c:v>
                </c:pt>
                <c:pt idx="1">
                  <c:v>5560</c:v>
                </c:pt>
                <c:pt idx="2">
                  <c:v>5813</c:v>
                </c:pt>
              </c:numCache>
            </c:numRef>
          </c:val>
          <c:extLst>
            <c:ext xmlns:c16="http://schemas.microsoft.com/office/drawing/2014/chart" uri="{C3380CC4-5D6E-409C-BE32-E72D297353CC}">
              <c16:uniqueId val="{00000001-8F87-437B-AD38-3D0F6C8B137A}"/>
            </c:ext>
          </c:extLst>
        </c:ser>
        <c:dLbls>
          <c:showLegendKey val="0"/>
          <c:showVal val="0"/>
          <c:showCatName val="0"/>
          <c:showSerName val="0"/>
          <c:showPercent val="0"/>
          <c:showBubbleSize val="0"/>
        </c:dLbls>
        <c:gapWidth val="219"/>
        <c:overlap val="-27"/>
        <c:axId val="700162624"/>
        <c:axId val="700163040"/>
      </c:barChart>
      <c:catAx>
        <c:axId val="70016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163040"/>
        <c:crosses val="autoZero"/>
        <c:auto val="1"/>
        <c:lblAlgn val="ctr"/>
        <c:lblOffset val="100"/>
        <c:noMultiLvlLbl val="0"/>
      </c:catAx>
      <c:valAx>
        <c:axId val="700163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16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[Sales_Profitability_Dashboard.xlsx]Pivot_Products!PivotTable6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Products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Pivot_Products!$C$3</c:f>
              <c:strCache>
                <c:ptCount val="1"/>
                <c:pt idx="0">
                  <c:v>Total</c:v>
                </c:pt>
              </c:strCache>
            </c:strRef>
          </c:tx>
          <c:spPr>
            <a:solidFill>
              <a:schemeClr val="accent1"/>
            </a:solidFill>
            <a:ln>
              <a:noFill/>
            </a:ln>
            <a:effectLst/>
          </c:spPr>
          <c:invertIfNegative val="0"/>
          <c:cat>
            <c:strRef>
              <c:f>Pivot_Products!$B$4:$B$9</c:f>
              <c:strCache>
                <c:ptCount val="5"/>
                <c:pt idx="0">
                  <c:v>Organic Honey</c:v>
                </c:pt>
                <c:pt idx="1">
                  <c:v>Green Tea</c:v>
                </c:pt>
                <c:pt idx="2">
                  <c:v>Mint</c:v>
                </c:pt>
                <c:pt idx="3">
                  <c:v>Tahini</c:v>
                </c:pt>
                <c:pt idx="4">
                  <c:v>Dates</c:v>
                </c:pt>
              </c:strCache>
            </c:strRef>
          </c:cat>
          <c:val>
            <c:numRef>
              <c:f>Pivot_Products!$C$4:$C$9</c:f>
              <c:numCache>
                <c:formatCode>General</c:formatCode>
                <c:ptCount val="5"/>
                <c:pt idx="0">
                  <c:v>7597</c:v>
                </c:pt>
                <c:pt idx="1">
                  <c:v>7013</c:v>
                </c:pt>
                <c:pt idx="2">
                  <c:v>5256</c:v>
                </c:pt>
                <c:pt idx="3">
                  <c:v>3963</c:v>
                </c:pt>
                <c:pt idx="4">
                  <c:v>3585</c:v>
                </c:pt>
              </c:numCache>
            </c:numRef>
          </c:val>
          <c:extLst>
            <c:ext xmlns:c16="http://schemas.microsoft.com/office/drawing/2014/chart" uri="{C3380CC4-5D6E-409C-BE32-E72D297353CC}">
              <c16:uniqueId val="{00000000-8FE4-4D33-8CEB-BC3A348A5ECC}"/>
            </c:ext>
          </c:extLst>
        </c:ser>
        <c:dLbls>
          <c:showLegendKey val="0"/>
          <c:showVal val="0"/>
          <c:showCatName val="0"/>
          <c:showSerName val="0"/>
          <c:showPercent val="0"/>
          <c:showBubbleSize val="0"/>
        </c:dLbls>
        <c:gapWidth val="182"/>
        <c:axId val="705681040"/>
        <c:axId val="705679792"/>
      </c:barChart>
      <c:catAx>
        <c:axId val="705681040"/>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679792"/>
        <c:crosses val="autoZero"/>
        <c:auto val="1"/>
        <c:lblAlgn val="ctr"/>
        <c:lblOffset val="100"/>
        <c:noMultiLvlLbl val="0"/>
      </c:catAx>
      <c:valAx>
        <c:axId val="70567979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68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[Sales_Profitability_Dashboard.xlsx]Pivot_City!PivotTable7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City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Pivot_City!$C$3</c:f>
              <c:strCache>
                <c:ptCount val="1"/>
                <c:pt idx="0">
                  <c:v>Total</c:v>
                </c:pt>
              </c:strCache>
            </c:strRef>
          </c:tx>
          <c:spPr>
            <a:solidFill>
              <a:schemeClr val="accent1"/>
            </a:solidFill>
            <a:ln>
              <a:noFill/>
            </a:ln>
            <a:effectLst/>
          </c:spPr>
          <c:invertIfNegative val="0"/>
          <c:cat>
            <c:strRef>
              <c:f>Pivot_City!$B$4:$B$9</c:f>
              <c:strCache>
                <c:ptCount val="5"/>
                <c:pt idx="0">
                  <c:v>Tehran</c:v>
                </c:pt>
                <c:pt idx="1">
                  <c:v>Shiraz</c:v>
                </c:pt>
                <c:pt idx="2">
                  <c:v>Isfahan</c:v>
                </c:pt>
                <c:pt idx="3">
                  <c:v>Tabriz</c:v>
                </c:pt>
                <c:pt idx="4">
                  <c:v>Mashhad</c:v>
                </c:pt>
              </c:strCache>
            </c:strRef>
          </c:cat>
          <c:val>
            <c:numRef>
              <c:f>Pivot_City!$C$4:$C$9</c:f>
              <c:numCache>
                <c:formatCode>General</c:formatCode>
                <c:ptCount val="5"/>
                <c:pt idx="0">
                  <c:v>10993</c:v>
                </c:pt>
                <c:pt idx="1">
                  <c:v>9523</c:v>
                </c:pt>
                <c:pt idx="2">
                  <c:v>7793</c:v>
                </c:pt>
                <c:pt idx="3">
                  <c:v>7768</c:v>
                </c:pt>
                <c:pt idx="4">
                  <c:v>7010</c:v>
                </c:pt>
              </c:numCache>
            </c:numRef>
          </c:val>
          <c:extLst>
            <c:ext xmlns:c16="http://schemas.microsoft.com/office/drawing/2014/chart" uri="{C3380CC4-5D6E-409C-BE32-E72D297353CC}">
              <c16:uniqueId val="{00000000-B64F-46F8-8774-5C1C15A6DB91}"/>
            </c:ext>
          </c:extLst>
        </c:ser>
        <c:dLbls>
          <c:showLegendKey val="0"/>
          <c:showVal val="0"/>
          <c:showCatName val="0"/>
          <c:showSerName val="0"/>
          <c:showPercent val="0"/>
          <c:showBubbleSize val="0"/>
        </c:dLbls>
        <c:gapWidth val="182"/>
        <c:axId val="620945984"/>
        <c:axId val="620943904"/>
      </c:barChart>
      <c:catAx>
        <c:axId val="620945984"/>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43904"/>
        <c:crosses val="autoZero"/>
        <c:auto val="1"/>
        <c:lblAlgn val="ctr"/>
        <c:lblOffset val="100"/>
        <c:noMultiLvlLbl val="0"/>
      </c:catAx>
      <c:valAx>
        <c:axId val="62094390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94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5</xdr:col>
      <xdr:colOff>91440</xdr:colOff>
      <xdr:row>1</xdr:row>
      <xdr:rowOff>177165</xdr:rowOff>
    </xdr:from>
    <xdr:to>
      <xdr:col>10</xdr:col>
      <xdr:colOff>243840</xdr:colOff>
      <xdr:row>9</xdr:row>
      <xdr:rowOff>100965</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C2655D26-A142-412D-9B3C-0DA1C85E55C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472940" y="35814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112395</xdr:colOff>
      <xdr:row>10</xdr:row>
      <xdr:rowOff>51436</xdr:rowOff>
    </xdr:from>
    <xdr:to>
      <xdr:col>7</xdr:col>
      <xdr:colOff>352425</xdr:colOff>
      <xdr:row>17</xdr:row>
      <xdr:rowOff>142875</xdr:rowOff>
    </xdr:to>
    <mc:AlternateContent xmlns:mc="http://schemas.openxmlformats.org/markup-compatibility/2006" xmlns:a14="http://schemas.microsoft.com/office/drawing/2010/main">
      <mc:Choice Requires="a14">
        <xdr:graphicFrame macro="">
          <xdr:nvGraphicFramePr>
            <xdr:cNvPr id="3" name="ProductName 1">
              <a:extLst>
                <a:ext uri="{FF2B5EF4-FFF2-40B4-BE49-F238E27FC236}">
                  <a16:creationId xmlns:a16="http://schemas.microsoft.com/office/drawing/2014/main" id="{E9201252-B359-4B31-A3EE-BA71B917B1B2}"/>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mlns="">
        <xdr:sp macro="" textlink="">
          <xdr:nvSpPr>
            <xdr:cNvPr id="0" name=""/>
            <xdr:cNvSpPr>
              <a:spLocks noTextEdit="1"/>
            </xdr:cNvSpPr>
          </xdr:nvSpPr>
          <xdr:spPr>
            <a:xfrm>
              <a:off x="4493895" y="1861186"/>
              <a:ext cx="1592580" cy="1358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371474</xdr:colOff>
      <xdr:row>1</xdr:row>
      <xdr:rowOff>161924</xdr:rowOff>
    </xdr:from>
    <xdr:to>
      <xdr:col>21</xdr:col>
      <xdr:colOff>304799</xdr:colOff>
      <xdr:row>28</xdr:row>
      <xdr:rowOff>123824</xdr:rowOff>
    </xdr:to>
    <xdr:graphicFrame macro="">
      <xdr:nvGraphicFramePr>
        <xdr:cNvPr id="5" name="Chart 4">
          <a:extLst>
            <a:ext uri="{FF2B5EF4-FFF2-40B4-BE49-F238E27FC236}">
              <a16:creationId xmlns:a16="http://schemas.microsoft.com/office/drawing/2014/main" id="{2143434B-797E-44D1-947D-930A95B7C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1087484</xdr:colOff>
      <xdr:row>1</xdr:row>
      <xdr:rowOff>39190</xdr:rowOff>
    </xdr:from>
    <xdr:to>
      <xdr:col>19</xdr:col>
      <xdr:colOff>816428</xdr:colOff>
      <xdr:row>15</xdr:row>
      <xdr:rowOff>144237</xdr:rowOff>
    </xdr:to>
    <xdr:graphicFrame macro="">
      <xdr:nvGraphicFramePr>
        <xdr:cNvPr id="2" name="Chart 1">
          <a:extLst>
            <a:ext uri="{FF2B5EF4-FFF2-40B4-BE49-F238E27FC236}">
              <a16:creationId xmlns:a16="http://schemas.microsoft.com/office/drawing/2014/main" id="{1098BFDB-14E6-46CA-B614-4B7AEB491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2993</xdr:colOff>
      <xdr:row>9</xdr:row>
      <xdr:rowOff>9797</xdr:rowOff>
    </xdr:from>
    <xdr:to>
      <xdr:col>2</xdr:col>
      <xdr:colOff>708931</xdr:colOff>
      <xdr:row>15</xdr:row>
      <xdr:rowOff>65314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2D8CE8CD-613D-460F-A437-BF03A50762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2593" y="1675311"/>
              <a:ext cx="1827167"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26127</xdr:colOff>
      <xdr:row>18</xdr:row>
      <xdr:rowOff>50346</xdr:rowOff>
    </xdr:from>
    <xdr:to>
      <xdr:col>19</xdr:col>
      <xdr:colOff>609600</xdr:colOff>
      <xdr:row>34</xdr:row>
      <xdr:rowOff>150360</xdr:rowOff>
    </xdr:to>
    <xdr:graphicFrame macro="">
      <xdr:nvGraphicFramePr>
        <xdr:cNvPr id="5" name="Chart 4">
          <a:extLst>
            <a:ext uri="{FF2B5EF4-FFF2-40B4-BE49-F238E27FC236}">
              <a16:creationId xmlns:a16="http://schemas.microsoft.com/office/drawing/2014/main" id="{BFDC4E0B-B864-4647-9AB9-661431969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7</xdr:row>
      <xdr:rowOff>129541</xdr:rowOff>
    </xdr:from>
    <xdr:to>
      <xdr:col>7</xdr:col>
      <xdr:colOff>261257</xdr:colOff>
      <xdr:row>16</xdr:row>
      <xdr:rowOff>163287</xdr:rowOff>
    </xdr:to>
    <mc:AlternateContent xmlns:mc="http://schemas.openxmlformats.org/markup-compatibility/2006" xmlns:a14="http://schemas.microsoft.com/office/drawing/2010/main">
      <mc:Choice Requires="a14">
        <xdr:graphicFrame macro="">
          <xdr:nvGraphicFramePr>
            <xdr:cNvPr id="4" name="ProductName">
              <a:extLst>
                <a:ext uri="{FF2B5EF4-FFF2-40B4-BE49-F238E27FC236}">
                  <a16:creationId xmlns:a16="http://schemas.microsoft.com/office/drawing/2014/main" id="{9C420CAE-9966-4DD9-A07D-538CAB6AB3A2}"/>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2884714" y="1424941"/>
              <a:ext cx="182880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7</xdr:row>
      <xdr:rowOff>32385</xdr:rowOff>
    </xdr:from>
    <xdr:to>
      <xdr:col>6</xdr:col>
      <xdr:colOff>127635</xdr:colOff>
      <xdr:row>20</xdr:row>
      <xdr:rowOff>100965</xdr:rowOff>
    </xdr:to>
    <xdr:graphicFrame macro="">
      <xdr:nvGraphicFramePr>
        <xdr:cNvPr id="2" name="Chart 1">
          <a:extLst>
            <a:ext uri="{FF2B5EF4-FFF2-40B4-BE49-F238E27FC236}">
              <a16:creationId xmlns:a16="http://schemas.microsoft.com/office/drawing/2014/main" id="{E37B6D48-436B-4A51-84DF-FFC4A4A7E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180975</xdr:colOff>
      <xdr:row>7</xdr:row>
      <xdr:rowOff>34290</xdr:rowOff>
    </xdr:from>
    <xdr:to>
      <xdr:col>12</xdr:col>
      <xdr:colOff>131445</xdr:colOff>
      <xdr:row>20</xdr:row>
      <xdr:rowOff>133350</xdr:rowOff>
    </xdr:to>
    <xdr:graphicFrame macro="">
      <xdr:nvGraphicFramePr>
        <xdr:cNvPr id="3" name="Chart 2">
          <a:extLst>
            <a:ext uri="{FF2B5EF4-FFF2-40B4-BE49-F238E27FC236}">
              <a16:creationId xmlns:a16="http://schemas.microsoft.com/office/drawing/2014/main" id="{AFE5FA99-114A-4099-8A9F-9DF461ADB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21</xdr:row>
      <xdr:rowOff>28575</xdr:rowOff>
    </xdr:from>
    <xdr:to>
      <xdr:col>6</xdr:col>
      <xdr:colOff>133350</xdr:colOff>
      <xdr:row>34</xdr:row>
      <xdr:rowOff>13335</xdr:rowOff>
    </xdr:to>
    <xdr:graphicFrame macro="">
      <xdr:nvGraphicFramePr>
        <xdr:cNvPr id="4" name="Chart 3">
          <a:extLst>
            <a:ext uri="{FF2B5EF4-FFF2-40B4-BE49-F238E27FC236}">
              <a16:creationId xmlns:a16="http://schemas.microsoft.com/office/drawing/2014/main" id="{0C6ED641-0090-487D-BA36-815CC3C89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179069</xdr:colOff>
      <xdr:row>21</xdr:row>
      <xdr:rowOff>26670</xdr:rowOff>
    </xdr:from>
    <xdr:to>
      <xdr:col>12</xdr:col>
      <xdr:colOff>152400</xdr:colOff>
      <xdr:row>34</xdr:row>
      <xdr:rowOff>34290</xdr:rowOff>
    </xdr:to>
    <xdr:graphicFrame macro="">
      <xdr:nvGraphicFramePr>
        <xdr:cNvPr id="5" name="Chart 4">
          <a:extLst>
            <a:ext uri="{FF2B5EF4-FFF2-40B4-BE49-F238E27FC236}">
              <a16:creationId xmlns:a16="http://schemas.microsoft.com/office/drawing/2014/main" id="{78ED5AF2-E537-401E-B879-A6A337853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219075</xdr:colOff>
      <xdr:row>15</xdr:row>
      <xdr:rowOff>85725</xdr:rowOff>
    </xdr:from>
    <xdr:to>
      <xdr:col>14</xdr:col>
      <xdr:colOff>295275</xdr:colOff>
      <xdr:row>22</xdr:row>
      <xdr:rowOff>7620</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05EF4295-14FA-4386-BE08-767A81C0236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734675" y="2800350"/>
              <a:ext cx="18288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219075</xdr:colOff>
      <xdr:row>7</xdr:row>
      <xdr:rowOff>66675</xdr:rowOff>
    </xdr:from>
    <xdr:to>
      <xdr:col>16</xdr:col>
      <xdr:colOff>318135</xdr:colOff>
      <xdr:row>15</xdr:row>
      <xdr:rowOff>12700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70B98A32-5B2B-4704-B35E-28E822248E6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734675" y="1333500"/>
              <a:ext cx="3337560" cy="13938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833912035" createdVersion="5" refreshedVersion="7" minRefreshableVersion="3" recordCount="0" supportSubquery="1" supportAdvancedDrill="1" xr:uid="{6438089C-DF22-43BD-B6CB-58565DE86188}">
  <cacheSource type="external" connectionId="3"/>
  <cacheFields count="0"/>
  <cacheHierarchies count="36">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0" memberValueDatatype="130" unbalanced="0"/>
    <cacheHierarchy uniqueName="[Q - products].[Category]" caption="Category" attribute="1" defaultMemberUniqueName="[Q - products].[Category].[All]" allUniqueName="[Q - products].[Category].[All]" dimensionUniqueName="[Q - products]" displayFolder="" count="0" memberValueDatatype="130" unbalanced="0"/>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cacheHierarchy uniqueName="[Measures].[Total Profit]" caption="Total Profit" measure="1" displayFolder="" measureGroup="Q- sales" count="0"/>
    <cacheHierarchy uniqueName="[Measures].[Profit Margine %]" caption="Profit Margine %" measure="1" displayFolder="" measureGroup="Q- sales" count="0"/>
    <cacheHierarchy uniqueName="[Measures].[Category Share %]" caption="Category Share %" measure="1" displayFolder="" measureGroup="Q- sales" count="0"/>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5">
    <dimension name="Date Table" uniqueName="[Date Table]" caption="Date Table"/>
    <dimension measure="1" name="Measures" uniqueName="[Measures]" caption="Measures"/>
    <dimension name="Q - products" uniqueName="[Q - products]" caption="Q - products"/>
    <dimension name="Q- Customers" uniqueName="[Q- Customers]" caption="Q- Customers"/>
    <dimension name="Q- sales" uniqueName="[Q- sales]" caption="Q- sales"/>
  </dimensions>
  <measureGroups count="4">
    <measureGroup name="Date Table" caption="Date Table"/>
    <measureGroup name="Q - products" caption="Q - products"/>
    <measureGroup name="Q- Customers" caption="Q- Customers"/>
    <measureGroup name="Q- sales" caption="Q- 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73263889" createdVersion="5" refreshedVersion="7" minRefreshableVersion="3" recordCount="0" supportSubquery="1" supportAdvancedDrill="1" xr:uid="{FA1A11E4-C9F6-4E11-BA58-9A0FCC5451C9}">
  <cacheSource type="external" connectionId="3"/>
  <cacheFields count="7">
    <cacheField name="[Q- sales].[Date (Month)].[Date (Month)]" caption="Date (Month)" numFmtId="0" hierarchy="22" level="1">
      <sharedItems count="2">
        <s v="Jan"/>
        <s v="Feb"/>
      </sharedItems>
    </cacheField>
    <cacheField name="[Measures].[Product Share %]" caption="Product Share %" numFmtId="0" hierarchy="29" level="32767"/>
    <cacheField name="[Measures].[Profit Margine %]" caption="Profit Margine %" numFmtId="0" hierarchy="27" level="32767"/>
    <cacheField name="[Q- sales].[Date].[Date]" caption="Date" numFmtId="0" hierarchy="14" level="1">
      <sharedItems containsSemiMixedTypes="0" containsNonDate="0" containsString="0"/>
    </cacheField>
    <cacheField name="[Q - products].[ProductName].[ProductName]" caption="ProductName" numFmtId="0" hierarchy="7" level="1">
      <sharedItems count="1">
        <s v="Almonds"/>
      </sharedItems>
    </cacheField>
    <cacheField name="[Q - products].[Category].[Category]" caption="Category" numFmtId="0" hierarchy="8" level="1">
      <sharedItems count="1">
        <s v="Dry Fruit"/>
      </sharedItems>
    </cacheField>
    <cacheField name="[Measures].[Total Profit]" caption="Total Profit" numFmtId="0" hierarchy="26" level="32767"/>
  </cacheFields>
  <cacheHierarchies count="36">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2" memberValueDatatype="130" unbalanced="0">
      <fieldsUsage count="2">
        <fieldUsage x="-1"/>
        <fieldUsage x="4"/>
      </fieldsUsage>
    </cacheHierarchy>
    <cacheHierarchy uniqueName="[Q - products].[Category]" caption="Category" attribute="1" defaultMemberUniqueName="[Q - products].[Category].[All]" allUniqueName="[Q - products].[Category].[All]" dimensionUniqueName="[Q - products]" displayFolder="" count="2" memberValueDatatype="130" unbalanced="0">
      <fieldsUsage count="2">
        <fieldUsage x="-1"/>
        <fieldUsage x="5"/>
      </fieldsUsage>
    </cacheHierarchy>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2" memberValueDatatype="7" unbalanced="0">
      <fieldsUsage count="2">
        <fieldUsage x="-1"/>
        <fieldUsage x="3"/>
      </fieldsUsage>
    </cacheHierarchy>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2" memberValueDatatype="130" unbalanced="0">
      <fieldsUsage count="2">
        <fieldUsage x="-1"/>
        <fieldUsage x="0"/>
      </fieldsUsage>
    </cacheHierarchy>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cacheHierarchy uniqueName="[Measures].[Total Profit]" caption="Total Profit" measure="1" displayFolder="" measureGroup="Q- sales" count="0" oneField="1">
      <fieldsUsage count="1">
        <fieldUsage x="6"/>
      </fieldsUsage>
    </cacheHierarchy>
    <cacheHierarchy uniqueName="[Measures].[Profit Margine %]" caption="Profit Margine %" measure="1" displayFolder="" measureGroup="Q- sales" count="0" oneField="1">
      <fieldsUsage count="1">
        <fieldUsage x="2"/>
      </fieldsUsage>
    </cacheHierarchy>
    <cacheHierarchy uniqueName="[Measures].[Category Share %]" caption="Category Share %" measure="1" displayFolder="" measureGroup="Q- sales" count="0"/>
    <cacheHierarchy uniqueName="[Measures].[Product Share %]" caption="Product Share %" measure="1" displayFolder="" measureGroup="Q- sales" count="0" oneField="1">
      <fieldsUsage count="1">
        <fieldUsage x="1"/>
      </fieldsUsage>
    </cacheHierarchy>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5">
    <dimension name="Date Table" uniqueName="[Date Table]" caption="Date Table"/>
    <dimension measure="1" name="Measures" uniqueName="[Measures]" caption="Measures"/>
    <dimension name="Q - products" uniqueName="[Q - products]" caption="Q - products"/>
    <dimension name="Q- Customers" uniqueName="[Q- Customers]" caption="Q- Customers"/>
    <dimension name="Q- sales" uniqueName="[Q- sales]" caption="Q- sales"/>
  </dimensions>
  <measureGroups count="4">
    <measureGroup name="Date Table" caption="Date Table"/>
    <measureGroup name="Q - products" caption="Q - products"/>
    <measureGroup name="Q- Customers" caption="Q- Customers"/>
    <measureGroup name="Q- sales" caption="Q- 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78125" createdVersion="5" refreshedVersion="7" minRefreshableVersion="3" recordCount="0" supportSubquery="1" supportAdvancedDrill="1" xr:uid="{4BC45657-FCDE-4652-A6A3-B101CAD406F8}">
  <cacheSource type="external" connectionId="3"/>
  <cacheFields count="3">
    <cacheField name="[Q- Customers].[City].[City]" caption="City" numFmtId="0" hierarchy="12" level="1">
      <sharedItems count="5">
        <s v="Isfahan"/>
        <s v="Mashhad"/>
        <s v="Shiraz"/>
        <s v="Tabriz"/>
        <s v="Tehran"/>
      </sharedItems>
    </cacheField>
    <cacheField name="[Measures].[Total Revenue]" caption="Total Revenue" numFmtId="0" hierarchy="25" level="32767"/>
    <cacheField name="[Q - products].[Category].[Category]" caption="Category" numFmtId="0" hierarchy="8" level="1">
      <sharedItems containsSemiMixedTypes="0" containsNonDate="0" containsString="0"/>
    </cacheField>
  </cacheFields>
  <cacheHierarchies count="36">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0" memberValueDatatype="130" unbalanced="0"/>
    <cacheHierarchy uniqueName="[Q - products].[Category]" caption="Category" attribute="1" defaultMemberUniqueName="[Q - products].[Category].[All]" allUniqueName="[Q - products].[Category].[All]" dimensionUniqueName="[Q - products]" displayFolder="" count="2" memberValueDatatype="130" unbalanced="0">
      <fieldsUsage count="2">
        <fieldUsage x="-1"/>
        <fieldUsage x="2"/>
      </fieldsUsage>
    </cacheHierarchy>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2" memberValueDatatype="130" unbalanced="0">
      <fieldsUsage count="2">
        <fieldUsage x="-1"/>
        <fieldUsage x="0"/>
      </fieldsUsage>
    </cacheHierarchy>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oneField="1">
      <fieldsUsage count="1">
        <fieldUsage x="1"/>
      </fieldsUsage>
    </cacheHierarchy>
    <cacheHierarchy uniqueName="[Measures].[Total Profit]" caption="Total Profit" measure="1" displayFolder="" measureGroup="Q- sales" count="0"/>
    <cacheHierarchy uniqueName="[Measures].[Profit Margine %]" caption="Profit Margine %" measure="1" displayFolder="" measureGroup="Q- sales" count="0"/>
    <cacheHierarchy uniqueName="[Measures].[Category Share %]" caption="Category Share %" measure="1" displayFolder="" measureGroup="Q- sales" count="0"/>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5">
    <dimension name="Date Table" uniqueName="[Date Table]" caption="Date Table"/>
    <dimension measure="1" name="Measures" uniqueName="[Measures]" caption="Measures"/>
    <dimension name="Q - products" uniqueName="[Q - products]" caption="Q - products"/>
    <dimension name="Q- Customers" uniqueName="[Q- Customers]" caption="Q- Customers"/>
    <dimension name="Q- sales" uniqueName="[Q- sales]" caption="Q- sales"/>
  </dimensions>
  <measureGroups count="4">
    <measureGroup name="Date Table" caption="Date Table"/>
    <measureGroup name="Q - products" caption="Q - products"/>
    <measureGroup name="Q- Customers" caption="Q- Customers"/>
    <measureGroup name="Q- sales" caption="Q- 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80092593" createdVersion="5" refreshedVersion="7" minRefreshableVersion="3" recordCount="0" supportSubquery="1" supportAdvancedDrill="1" xr:uid="{2DB22C94-CE50-4588-93D6-B589D8400A25}">
  <cacheSource type="external" connectionId="3"/>
  <cacheFields count="4">
    <cacheField name="[Measures].[Total Revenue]" caption="Total Revenue" numFmtId="0" hierarchy="25" level="32767"/>
    <cacheField name="[Measures].[Total Profit]" caption="Total Profit" numFmtId="0" hierarchy="26" level="32767"/>
    <cacheField name="[Date Table].[Month Name].[Month Name]" caption="Month Name" numFmtId="0" hierarchy="3" level="1">
      <sharedItems count="12">
        <s v="Jan"/>
        <s v="Feb"/>
        <s v="Mar"/>
        <s v="Apr"/>
        <s v="May"/>
        <s v="Jun"/>
        <s v="Jul"/>
        <s v="Aug"/>
        <s v="Sep"/>
        <s v="Oct"/>
        <s v="Nov"/>
        <s v="Dec"/>
      </sharedItems>
    </cacheField>
    <cacheField name="[Q - products].[Category].[Category]" caption="Category" numFmtId="0" hierarchy="8" level="1">
      <sharedItems containsSemiMixedTypes="0" containsNonDate="0" containsString="0"/>
    </cacheField>
  </cacheFields>
  <cacheHierarchies count="36">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2" memberValueDatatype="130" unbalanced="0">
      <fieldsUsage count="2">
        <fieldUsage x="-1"/>
        <fieldUsage x="2"/>
      </fieldsUsage>
    </cacheHierarchy>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0" memberValueDatatype="130" unbalanced="0"/>
    <cacheHierarchy uniqueName="[Q - products].[Category]" caption="Category" attribute="1" defaultMemberUniqueName="[Q - products].[Category].[All]" allUniqueName="[Q - products].[Category].[All]" dimensionUniqueName="[Q - products]" displayFolder="" count="2" memberValueDatatype="130" unbalanced="0">
      <fieldsUsage count="2">
        <fieldUsage x="-1"/>
        <fieldUsage x="3"/>
      </fieldsUsage>
    </cacheHierarchy>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oneField="1">
      <fieldsUsage count="1">
        <fieldUsage x="0"/>
      </fieldsUsage>
    </cacheHierarchy>
    <cacheHierarchy uniqueName="[Measures].[Total Profit]" caption="Total Profit" measure="1" displayFolder="" measureGroup="Q- sales" count="0" oneField="1">
      <fieldsUsage count="1">
        <fieldUsage x="1"/>
      </fieldsUsage>
    </cacheHierarchy>
    <cacheHierarchy uniqueName="[Measures].[Profit Margine %]" caption="Profit Margine %" measure="1" displayFolder="" measureGroup="Q- sales" count="0"/>
    <cacheHierarchy uniqueName="[Measures].[Category Share %]" caption="Category Share %" measure="1" displayFolder="" measureGroup="Q- sales" count="0"/>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5">
    <dimension name="Date Table" uniqueName="[Date Table]" caption="Date Table"/>
    <dimension measure="1" name="Measures" uniqueName="[Measures]" caption="Measures"/>
    <dimension name="Q - products" uniqueName="[Q - products]" caption="Q - products"/>
    <dimension name="Q- Customers" uniqueName="[Q- Customers]" caption="Q- Customers"/>
    <dimension name="Q- sales" uniqueName="[Q- sales]" caption="Q- sales"/>
  </dimensions>
  <measureGroups count="4">
    <measureGroup name="Date Table" caption="Date Table"/>
    <measureGroup name="Q - products" caption="Q - products"/>
    <measureGroup name="Q- Customers" caption="Q- Customers"/>
    <measureGroup name="Q- sales" caption="Q- 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82060187" createdVersion="5" refreshedVersion="7" minRefreshableVersion="3" recordCount="0" supportSubquery="1" supportAdvancedDrill="1" xr:uid="{ED705219-2F28-437D-B364-B852C0E72216}">
  <cacheSource type="external" connectionId="3"/>
  <cacheFields count="3">
    <cacheField name="[Q - products].[ProductName].[ProductName]" caption="ProductName" numFmtId="0" hierarchy="7" level="1">
      <sharedItems count="5">
        <s v="Dates"/>
        <s v="Green Tea"/>
        <s v="Mint"/>
        <s v="Organic Honey"/>
        <s v="Tahini"/>
      </sharedItems>
    </cacheField>
    <cacheField name="[Measures].[Total Revenue]" caption="Total Revenue" numFmtId="0" hierarchy="25" level="32767"/>
    <cacheField name="[Q - products].[Category].[Category]" caption="Category" numFmtId="0" hierarchy="8" level="1">
      <sharedItems containsSemiMixedTypes="0" containsNonDate="0" containsString="0"/>
    </cacheField>
  </cacheFields>
  <cacheHierarchies count="36">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2" memberValueDatatype="130" unbalanced="0">
      <fieldsUsage count="2">
        <fieldUsage x="-1"/>
        <fieldUsage x="0"/>
      </fieldsUsage>
    </cacheHierarchy>
    <cacheHierarchy uniqueName="[Q - products].[Category]" caption="Category" attribute="1" defaultMemberUniqueName="[Q - products].[Category].[All]" allUniqueName="[Q - products].[Category].[All]" dimensionUniqueName="[Q - products]" displayFolder="" count="2" memberValueDatatype="130" unbalanced="0">
      <fieldsUsage count="2">
        <fieldUsage x="-1"/>
        <fieldUsage x="2"/>
      </fieldsUsage>
    </cacheHierarchy>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oneField="1">
      <fieldsUsage count="1">
        <fieldUsage x="1"/>
      </fieldsUsage>
    </cacheHierarchy>
    <cacheHierarchy uniqueName="[Measures].[Total Profit]" caption="Total Profit" measure="1" displayFolder="" measureGroup="Q- sales" count="0"/>
    <cacheHierarchy uniqueName="[Measures].[Profit Margine %]" caption="Profit Margine %" measure="1" displayFolder="" measureGroup="Q- sales" count="0"/>
    <cacheHierarchy uniqueName="[Measures].[Category Share %]" caption="Category Share %" measure="1" displayFolder="" measureGroup="Q- sales" count="0"/>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5">
    <dimension name="Date Table" uniqueName="[Date Table]" caption="Date Table"/>
    <dimension measure="1" name="Measures" uniqueName="[Measures]" caption="Measures"/>
    <dimension name="Q - products" uniqueName="[Q - products]" caption="Q - products"/>
    <dimension name="Q- Customers" uniqueName="[Q- Customers]" caption="Q- Customers"/>
    <dimension name="Q- sales" uniqueName="[Q- sales]" caption="Q- sales"/>
  </dimensions>
  <measureGroups count="4">
    <measureGroup name="Date Table" caption="Date Table"/>
    <measureGroup name="Q - products" caption="Q - products"/>
    <measureGroup name="Q- Customers" caption="Q- Customers"/>
    <measureGroup name="Q- sales" caption="Q- 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84374996" createdVersion="5" refreshedVersion="7" minRefreshableVersion="3" recordCount="0" supportSubquery="1" supportAdvancedDrill="1" xr:uid="{D2D319EE-92DF-4572-9C24-BE1005170EA5}">
  <cacheSource type="external" connectionId="3"/>
  <cacheFields count="6">
    <cacheField name="[Measures].[Profit Margine %]" caption="Profit Margine %" numFmtId="0" hierarchy="27" level="32767"/>
    <cacheField name="[Measures].[Category Share %]" caption="Category Share %" numFmtId="0" hierarchy="28" level="32767"/>
    <cacheField name="[Q - products].[Category].[Category]" caption="Category" numFmtId="0" hierarchy="8" level="1">
      <sharedItems count="3">
        <s v="Beverage"/>
        <s v="Dry Fruit"/>
        <s v="Food"/>
      </sharedItems>
    </cacheField>
    <cacheField name="[Measures].[Total Profit]" caption="Total Profit" numFmtId="0" hierarchy="26" level="32767"/>
    <cacheField name="[Measures].[Total Revenue]" caption="Total Revenue" numFmtId="0" hierarchy="25" level="32767"/>
    <cacheField name="[Q - products].[ProductName].[ProductName]" caption="ProductName" numFmtId="0" hierarchy="7" level="1">
      <sharedItems containsSemiMixedTypes="0" containsNonDate="0" containsString="0"/>
    </cacheField>
  </cacheFields>
  <cacheHierarchies count="36">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2" memberValueDatatype="130" unbalanced="0">
      <fieldsUsage count="2">
        <fieldUsage x="-1"/>
        <fieldUsage x="5"/>
      </fieldsUsage>
    </cacheHierarchy>
    <cacheHierarchy uniqueName="[Q - products].[Category]" caption="Category" attribute="1" defaultMemberUniqueName="[Q - products].[Category].[All]" allUniqueName="[Q - products].[Category].[All]" dimensionUniqueName="[Q - products]" displayFolder="" count="2" memberValueDatatype="130" unbalanced="0">
      <fieldsUsage count="2">
        <fieldUsage x="-1"/>
        <fieldUsage x="2"/>
      </fieldsUsage>
    </cacheHierarchy>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oneField="1">
      <fieldsUsage count="1">
        <fieldUsage x="4"/>
      </fieldsUsage>
    </cacheHierarchy>
    <cacheHierarchy uniqueName="[Measures].[Total Profit]" caption="Total Profit" measure="1" displayFolder="" measureGroup="Q- sales" count="0" oneField="1">
      <fieldsUsage count="1">
        <fieldUsage x="3"/>
      </fieldsUsage>
    </cacheHierarchy>
    <cacheHierarchy uniqueName="[Measures].[Profit Margine %]" caption="Profit Margine %" measure="1" displayFolder="" measureGroup="Q- sales" count="0" oneField="1">
      <fieldsUsage count="1">
        <fieldUsage x="0"/>
      </fieldsUsage>
    </cacheHierarchy>
    <cacheHierarchy uniqueName="[Measures].[Category Share %]" caption="Category Share %" measure="1" displayFolder="" measureGroup="Q- sales" count="0" oneField="1">
      <fieldsUsage count="1">
        <fieldUsage x="1"/>
      </fieldsUsage>
    </cacheHierarchy>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5">
    <dimension name="Date Table" uniqueName="[Date Table]" caption="Date Table"/>
    <dimension measure="1" name="Measures" uniqueName="[Measures]" caption="Measures"/>
    <dimension name="Q - products" uniqueName="[Q - products]" caption="Q - products"/>
    <dimension name="Q- Customers" uniqueName="[Q- Customers]" caption="Q- Customers"/>
    <dimension name="Q- sales" uniqueName="[Q- sales]" caption="Q- sales"/>
  </dimensions>
  <measureGroups count="4">
    <measureGroup name="Date Table" caption="Date Table"/>
    <measureGroup name="Q - products" caption="Q - products"/>
    <measureGroup name="Q- Customers" caption="Q- Customers"/>
    <measureGroup name="Q- sales" caption="Q- 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86458336" createdVersion="5" refreshedVersion="7" minRefreshableVersion="3" recordCount="0" supportSubquery="1" supportAdvancedDrill="1" xr:uid="{6ABBD3CF-B2F6-480D-A14D-292B71B39990}">
  <cacheSource type="external" connectionId="3"/>
  <cacheFields count="3">
    <cacheField name="[Measures].[Category Share %]" caption="Category Share %" numFmtId="0" hierarchy="28" level="32767"/>
    <cacheField name="[Q - products].[Category].[Category]" caption="Category" numFmtId="0" hierarchy="8" level="1">
      <sharedItems count="3">
        <s v="Beverage"/>
        <s v="Dry Fruit"/>
        <s v="Food"/>
      </sharedItems>
    </cacheField>
    <cacheField name="[Q- sales].[Date (Month)].[Date (Month)]" caption="Date (Month)" numFmtId="0" hierarchy="22" level="1">
      <sharedItems count="12">
        <s v="Jan"/>
        <s v="Feb"/>
        <s v="Mar"/>
        <s v="Apr"/>
        <s v="May"/>
        <s v="Jun"/>
        <s v="Jul"/>
        <s v="Aug"/>
        <s v="Sep"/>
        <s v="Oct"/>
        <s v="Nov"/>
        <s v="Dec"/>
      </sharedItems>
    </cacheField>
  </cacheFields>
  <cacheHierarchies count="36">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0" memberValueDatatype="130" unbalanced="0"/>
    <cacheHierarchy uniqueName="[Q - products].[Category]" caption="Category" attribute="1" defaultMemberUniqueName="[Q - products].[Category].[All]" allUniqueName="[Q - products].[Category].[All]" dimensionUniqueName="[Q - products]" displayFolder="" count="2" memberValueDatatype="130" unbalanced="0">
      <fieldsUsage count="2">
        <fieldUsage x="-1"/>
        <fieldUsage x="1"/>
      </fieldsUsage>
    </cacheHierarchy>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2" memberValueDatatype="130" unbalanced="0">
      <fieldsUsage count="2">
        <fieldUsage x="-1"/>
        <fieldUsage x="2"/>
      </fieldsUsage>
    </cacheHierarchy>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cacheHierarchy uniqueName="[Measures].[Total Profit]" caption="Total Profit" measure="1" displayFolder="" measureGroup="Q- sales" count="0"/>
    <cacheHierarchy uniqueName="[Measures].[Profit Margine %]" caption="Profit Margine %" measure="1" displayFolder="" measureGroup="Q- sales" count="0"/>
    <cacheHierarchy uniqueName="[Measures].[Category Share %]" caption="Category Share %" measure="1" displayFolder="" measureGroup="Q- sales" count="0" oneField="1">
      <fieldsUsage count="1">
        <fieldUsage x="0"/>
      </fieldsUsage>
    </cacheHierarchy>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5">
    <dimension name="Date Table" uniqueName="[Date Table]" caption="Date Table"/>
    <dimension measure="1" name="Measures" uniqueName="[Measures]" caption="Measures"/>
    <dimension name="Q - products" uniqueName="[Q - products]" caption="Q - products"/>
    <dimension name="Q- Customers" uniqueName="[Q- Customers]" caption="Q- Customers"/>
    <dimension name="Q- sales" uniqueName="[Q- sales]" caption="Q- sales"/>
  </dimensions>
  <measureGroups count="4">
    <measureGroup name="Date Table" caption="Date Table"/>
    <measureGroup name="Q - products" caption="Q - products"/>
    <measureGroup name="Q- Customers" caption="Q- Customers"/>
    <measureGroup name="Q- sales" caption="Q- 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8842593" createdVersion="5" refreshedVersion="7" minRefreshableVersion="3" recordCount="0" supportSubquery="1" supportAdvancedDrill="1" xr:uid="{5E55687A-DF91-4F31-953F-6180B43F3594}">
  <cacheSource type="external" connectionId="3"/>
  <cacheFields count="2">
    <cacheField name="[Measures].[Total sales]" caption="Total sales" numFmtId="0" hierarchy="30" level="32767"/>
    <cacheField name="[Q - products].[Category].[Category]" caption="Category" numFmtId="0" hierarchy="8" level="1">
      <sharedItems containsSemiMixedTypes="0" containsNonDate="0" containsString="0"/>
    </cacheField>
  </cacheFields>
  <cacheHierarchies count="36">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0" memberValueDatatype="130" unbalanced="0"/>
    <cacheHierarchy uniqueName="[Q - products].[Category]" caption="Category" attribute="1" defaultMemberUniqueName="[Q - products].[Category].[All]" allUniqueName="[Q - products].[Category].[All]" dimensionUniqueName="[Q - products]" displayFolder="" count="2" memberValueDatatype="130" unbalanced="0">
      <fieldsUsage count="2">
        <fieldUsage x="-1"/>
        <fieldUsage x="1"/>
      </fieldsUsage>
    </cacheHierarchy>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cacheHierarchy uniqueName="[Measures].[Total Profit]" caption="Total Profit" measure="1" displayFolder="" measureGroup="Q- sales" count="0"/>
    <cacheHierarchy uniqueName="[Measures].[Profit Margine %]" caption="Profit Margine %" measure="1" displayFolder="" measureGroup="Q- sales" count="0"/>
    <cacheHierarchy uniqueName="[Measures].[Category Share %]" caption="Category Share %" measure="1" displayFolder="" measureGroup="Q- sales" count="0"/>
    <cacheHierarchy uniqueName="[Measures].[Product Share %]" caption="Product Share %" measure="1" displayFolder="" measureGroup="Q- sales" count="0"/>
    <cacheHierarchy uniqueName="[Measures].[Total sales]" caption="Total sales" measure="1" displayFolder="" measureGroup="Q- sales" count="0" oneField="1">
      <fieldsUsage count="1">
        <fieldUsage x="0"/>
      </fieldsUsage>
    </cacheHierarchy>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5">
    <dimension name="Date Table" uniqueName="[Date Table]" caption="Date Table"/>
    <dimension measure="1" name="Measures" uniqueName="[Measures]" caption="Measures"/>
    <dimension name="Q - products" uniqueName="[Q - products]" caption="Q - products"/>
    <dimension name="Q- Customers" uniqueName="[Q- Customers]" caption="Q- Customers"/>
    <dimension name="Q- sales" uniqueName="[Q- sales]" caption="Q- sales"/>
  </dimensions>
  <measureGroups count="4">
    <measureGroup name="Date Table" caption="Date Table"/>
    <measureGroup name="Q - products" caption="Q - products"/>
    <measureGroup name="Q- Customers" caption="Q- Customers"/>
    <measureGroup name="Q- sales" caption="Q- 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94328703" createdVersion="5" refreshedVersion="7" minRefreshableVersion="3" recordCount="0" supportSubquery="1" supportAdvancedDrill="1" xr:uid="{E05C355F-E5B9-45D2-B0E9-7FB1D42982EF}">
  <cacheSource type="external" connectionId="3"/>
  <cacheFields count="3">
    <cacheField name="[Q - products].[Category].[Category]" caption="Category" numFmtId="0" hierarchy="8" level="1">
      <sharedItems count="3">
        <s v="Beverage"/>
        <s v="Dry Fruit"/>
        <s v="Food"/>
      </sharedItems>
    </cacheField>
    <cacheField name="[Measures].[Total Revenue]" caption="Total Revenue" numFmtId="0" hierarchy="25" level="32767"/>
    <cacheField name="[Measures].[Total Profit]" caption="Total Profit" numFmtId="0" hierarchy="26" level="32767"/>
  </cacheFields>
  <cacheHierarchies count="36">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0" memberValueDatatype="130" unbalanced="0"/>
    <cacheHierarchy uniqueName="[Q - products].[Category]" caption="Category" attribute="1" defaultMemberUniqueName="[Q - products].[Category].[All]" allUniqueName="[Q - products].[Category].[All]" dimensionUniqueName="[Q - products]" displayFolder="" count="2" memberValueDatatype="130" unbalanced="0">
      <fieldsUsage count="2">
        <fieldUsage x="-1"/>
        <fieldUsage x="0"/>
      </fieldsUsage>
    </cacheHierarchy>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oneField="1">
      <fieldsUsage count="1">
        <fieldUsage x="1"/>
      </fieldsUsage>
    </cacheHierarchy>
    <cacheHierarchy uniqueName="[Measures].[Total Profit]" caption="Total Profit" measure="1" displayFolder="" measureGroup="Q- sales" count="0" oneField="1">
      <fieldsUsage count="1">
        <fieldUsage x="2"/>
      </fieldsUsage>
    </cacheHierarchy>
    <cacheHierarchy uniqueName="[Measures].[Profit Margine %]" caption="Profit Margine %" measure="1" displayFolder="" measureGroup="Q- sales" count="0"/>
    <cacheHierarchy uniqueName="[Measures].[Category Share %]" caption="Category Share %" measure="1" displayFolder="" measureGroup="Q- sales" count="0"/>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dimensions count="5">
    <dimension name="Date Table" uniqueName="[Date Table]" caption="Date Table"/>
    <dimension measure="1" name="Measures" uniqueName="[Measures]" caption="Measures"/>
    <dimension name="Q - products" uniqueName="[Q - products]" caption="Q - products"/>
    <dimension name="Q- Customers" uniqueName="[Q- Customers]" caption="Q- Customers"/>
    <dimension name="Q- sales" uniqueName="[Q- sales]" caption="Q- sales"/>
  </dimensions>
  <measureGroups count="4">
    <measureGroup name="Date Table" caption="Date Table"/>
    <measureGroup name="Q - products" caption="Q - products"/>
    <measureGroup name="Q- Customers" caption="Q- Customers"/>
    <measureGroup name="Q- sales" caption="Q- sale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7048611" createdVersion="3" refreshedVersion="7" minRefreshableVersion="3" recordCount="0" supportSubquery="1" supportAdvancedDrill="1" xr:uid="{6C6D00EF-E866-4A99-9D07-3AD29E0E23B5}">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2" memberValueDatatype="130" unbalanced="0"/>
    <cacheHierarchy uniqueName="[Q - products].[Category]" caption="Category" attribute="1" defaultMemberUniqueName="[Q - products].[Category].[All]" allUniqueName="[Q - products].[Category].[All]" dimensionUniqueName="[Q - products]" displayFolder="" count="0" memberValueDatatype="130" unbalanced="0"/>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cacheHierarchy uniqueName="[Measures].[Total Profit]" caption="Total Profit" measure="1" displayFolder="" measureGroup="Q- sales" count="0"/>
    <cacheHierarchy uniqueName="[Measures].[Profit Margine %]" caption="Profit Margine %" measure="1" displayFolder="" measureGroup="Q- sales" count="0"/>
    <cacheHierarchy uniqueName="[Measures].[Category Share %]" caption="Category Share %" measure="1" displayFolder="" measureGroup="Q- sales" count="0"/>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050369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74999998" createdVersion="3" refreshedVersion="7" minRefreshableVersion="3" recordCount="0" supportSubquery="1" supportAdvancedDrill="1" xr:uid="{885F11C9-73BD-4BA0-B55A-C7330ADACAC7}">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2" memberValueDatatype="130" unbalanced="0"/>
    <cacheHierarchy uniqueName="[Q - products].[Category]" caption="Category" attribute="1" defaultMemberUniqueName="[Q - products].[Category].[All]" allUniqueName="[Q - products].[Category].[All]" dimensionUniqueName="[Q - products]" displayFolder="" count="2" memberValueDatatype="130" unbalanced="0"/>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cacheHierarchy uniqueName="[Measures].[Total Profit]" caption="Total Profit" measure="1" displayFolder="" measureGroup="Q- sales" count="0"/>
    <cacheHierarchy uniqueName="[Measures].[Profit Margine %]" caption="Profit Margine %" measure="1" displayFolder="" measureGroup="Q- sales" count="0"/>
    <cacheHierarchy uniqueName="[Measures].[Category Share %]" caption="Category Share %" measure="1" displayFolder="" measureGroup="Q- sales" count="0"/>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3481066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71180557" createdVersion="3" refreshedVersion="7" minRefreshableVersion="3" recordCount="0" supportSubquery="1" supportAdvancedDrill="1" xr:uid="{87D5BD1C-F560-476A-903F-FAEFD0DECD50}">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e Table].[Date]" caption="Date" attribute="1" time="1" defaultMemberUniqueName="[Date Table].[Date].[All]" allUniqueName="[Date Table].[Date].[All]" dimensionUniqueName="[Date Table]" displayFolder="" count="0"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0" memberValueDatatype="130" unbalanced="0"/>
    <cacheHierarchy uniqueName="[Q - products].[Category]" caption="Category" attribute="1" defaultMemberUniqueName="[Q - products].[Category].[All]" allUniqueName="[Q - products].[Category].[All]" dimensionUniqueName="[Q - products]" displayFolder="" count="0" memberValueDatatype="130" unbalanced="0"/>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2"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cacheHierarchy uniqueName="[Measures].[Total Profit]" caption="Total Profit" measure="1" displayFolder="" measureGroup="Q- sales" count="0"/>
    <cacheHierarchy uniqueName="[Measures].[Profit Margine %]" caption="Profit Margine %" measure="1" displayFolder="" measureGroup="Q- sales" count="0"/>
    <cacheHierarchy uniqueName="[Measures].[Category Share %]" caption="Category Share %" measure="1" displayFolder="" measureGroup="Q- sales" count="0"/>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605945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HSAN" refreshedDate="46305.387975925929" createdVersion="3" refreshedVersion="7" minRefreshableVersion="3" recordCount="0" supportSubquery="1" supportAdvancedDrill="1" xr:uid="{AA99AC2A-0627-418D-BEDD-875D47725EF7}">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e Table].[Date]" caption="Date" attribute="1" time="1" defaultMemberUniqueName="[Date Table].[Date].[All]" allUniqueName="[Date Table].[Date].[All]" dimensionUniqueName="[Date Table]" displayFolder="" count="2" memberValueDatatype="7" unbalanced="0"/>
    <cacheHierarchy uniqueName="[Date Table].[Year]" caption="Year" attribute="1" defaultMemberUniqueName="[Date Table].[Year].[All]" allUniqueName="[Date Table].[Year].[All]" dimensionUniqueName="[Date Table]" displayFolder="" count="0" memberValueDatatype="5" unbalanced="0"/>
    <cacheHierarchy uniqueName="[Date Table].[Month Number]" caption="Month Number" attribute="1" defaultMemberUniqueName="[Date Table].[Month Number].[All]" allUniqueName="[Date Table].[Month Number].[All]" dimensionUniqueName="[Date Table]" displayFolder="" count="0" memberValueDatatype="5" unbalanced="0"/>
    <cacheHierarchy uniqueName="[Date Table].[Month Name]" caption="Month Name" attribute="1" defaultMemberUniqueName="[Date Table].[Month Name].[All]" allUniqueName="[Date Table].[Month Name].[All]" dimensionUniqueName="[Date Table]" displayFolder="" count="0" memberValueDatatype="130" unbalanced="0"/>
    <cacheHierarchy uniqueName="[Date Table].[Quarter]" caption="Quarter" attribute="1" defaultMemberUniqueName="[Date Table].[Quarter].[All]" allUniqueName="[Date Table].[Quarter].[All]" dimensionUniqueName="[Date Table]" displayFolder="" count="0" memberValueDatatype="130" unbalanced="0"/>
    <cacheHierarchy uniqueName="[Date Table].[Day Name]" caption="Day Name" attribute="1" defaultMemberUniqueName="[Date Table].[Day Name].[All]" allUniqueName="[Date Table].[Day Name].[All]" dimensionUniqueName="[Date Table]" displayFolder="" count="0" memberValueDatatype="130" unbalanced="0"/>
    <cacheHierarchy uniqueName="[Q - products].[ProductID]" caption="ProductID" attribute="1" defaultMemberUniqueName="[Q - products].[ProductID].[All]" allUniqueName="[Q - products].[ProductID].[All]" dimensionUniqueName="[Q - products]" displayFolder="" count="0" memberValueDatatype="5" unbalanced="0"/>
    <cacheHierarchy uniqueName="[Q - products].[ProductName]" caption="ProductName" attribute="1" defaultMemberUniqueName="[Q - products].[ProductName].[All]" allUniqueName="[Q - products].[ProductName].[All]" dimensionUniqueName="[Q - products]" displayFolder="" count="0" memberValueDatatype="130" unbalanced="0"/>
    <cacheHierarchy uniqueName="[Q - products].[Category]" caption="Category" attribute="1" defaultMemberUniqueName="[Q - products].[Category].[All]" allUniqueName="[Q - products].[Category].[All]" dimensionUniqueName="[Q - products]" displayFolder="" count="0" memberValueDatatype="130" unbalanced="0"/>
    <cacheHierarchy uniqueName="[Q - products].[CostPrice]" caption="CostPrice" attribute="1" defaultMemberUniqueName="[Q - products].[CostPrice].[All]" allUniqueName="[Q - products].[CostPrice].[All]" dimensionUniqueName="[Q - products]" displayFolder="" count="0" memberValueDatatype="5" unbalanced="0"/>
    <cacheHierarchy uniqueName="[Q- Customers].[CustomerID]" caption="CustomerID" attribute="1" defaultMemberUniqueName="[Q- Customers].[CustomerID].[All]" allUniqueName="[Q- Customers].[CustomerID].[All]" dimensionUniqueName="[Q- Customers]" displayFolder="" count="0" memberValueDatatype="5" unbalanced="0"/>
    <cacheHierarchy uniqueName="[Q- Customers].[CustomerName]" caption="CustomerName" attribute="1" defaultMemberUniqueName="[Q- Customers].[CustomerName].[All]" allUniqueName="[Q- Customers].[CustomerName].[All]" dimensionUniqueName="[Q- Customers]" displayFolder="" count="0" memberValueDatatype="130" unbalanced="0"/>
    <cacheHierarchy uniqueName="[Q- Customers].[City]" caption="City" attribute="1" defaultMemberUniqueName="[Q- Customers].[City].[All]" allUniqueName="[Q- Customers].[City].[All]" dimensionUniqueName="[Q- Customers]" displayFolder="" count="0" memberValueDatatype="130" unbalanced="0"/>
    <cacheHierarchy uniqueName="[Q- sales].[SaleID]" caption="SaleID" attribute="1" defaultMemberUniqueName="[Q- sales].[SaleID].[All]" allUniqueName="[Q- sales].[SaleID].[All]" dimensionUniqueName="[Q- sales]" displayFolder="" count="0" memberValueDatatype="5" unbalanced="0"/>
    <cacheHierarchy uniqueName="[Q- sales].[Date]" caption="Date" attribute="1" time="1" defaultMemberUniqueName="[Q- sales].[Date].[All]" allUniqueName="[Q- sales].[Date].[All]" dimensionUniqueName="[Q- sales]" displayFolder="" count="0" memberValueDatatype="7" unbalanced="0"/>
    <cacheHierarchy uniqueName="[Q- sales].[ProductID]" caption="ProductID" attribute="1" defaultMemberUniqueName="[Q- sales].[ProductID].[All]" allUniqueName="[Q- sales].[ProductID].[All]" dimensionUniqueName="[Q- sales]" displayFolder="" count="0" memberValueDatatype="5" unbalanced="0"/>
    <cacheHierarchy uniqueName="[Q- sales].[CustomerID]" caption="CustomerID" attribute="1" defaultMemberUniqueName="[Q- sales].[CustomerID].[All]" allUniqueName="[Q- sales].[CustomerID].[All]" dimensionUniqueName="[Q- sales]" displayFolder="" count="0" memberValueDatatype="5" unbalanced="0"/>
    <cacheHierarchy uniqueName="[Q- sales].[Quantity]" caption="Quantity" attribute="1" defaultMemberUniqueName="[Q- sales].[Quantity].[All]" allUniqueName="[Q- sales].[Quantity].[All]" dimensionUniqueName="[Q- sales]" displayFolder="" count="0" memberValueDatatype="5" unbalanced="0"/>
    <cacheHierarchy uniqueName="[Q- sales].[UnitPrice]" caption="UnitPrice" attribute="1" defaultMemberUniqueName="[Q- sales].[UnitPrice].[All]" allUniqueName="[Q- sales].[UnitPrice].[All]" dimensionUniqueName="[Q- sales]" displayFolder="" count="0" memberValueDatatype="5" unbalanced="0"/>
    <cacheHierarchy uniqueName="[Q- sales].[Revenue]" caption="Revenue" attribute="1" defaultMemberUniqueName="[Q- sales].[Revenue].[All]" allUniqueName="[Q- sales].[Revenue].[All]" dimensionUniqueName="[Q- sales]" displayFolder="" count="0" memberValueDatatype="5" unbalanced="0"/>
    <cacheHierarchy uniqueName="[Q- sales].[Total Cost]" caption="Total Cost" attribute="1" defaultMemberUniqueName="[Q- sales].[Total Cost].[All]" allUniqueName="[Q- sales].[Total Cost].[All]" dimensionUniqueName="[Q- sales]" displayFolder="" count="0" memberValueDatatype="5" unbalanced="0"/>
    <cacheHierarchy uniqueName="[Q- sales].[Profit]" caption="Profit" attribute="1" defaultMemberUniqueName="[Q- sales].[Profit].[All]" allUniqueName="[Q- sales].[Profit].[All]" dimensionUniqueName="[Q- sales]" displayFolder="" count="0" memberValueDatatype="5" unbalanced="0"/>
    <cacheHierarchy uniqueName="[Q- sales].[Date (Month)]" caption="Date (Month)" attribute="1" defaultMemberUniqueName="[Q- sales].[Date (Month)].[All]" allUniqueName="[Q- sales].[Date (Month)].[All]" dimensionUniqueName="[Q- sales]" displayFolder="" count="0" memberValueDatatype="130" unbalanced="0"/>
    <cacheHierarchy uniqueName="[Q- sales].[Date (Month Index)]" caption="Date (Month Index)" attribute="1" defaultMemberUniqueName="[Q- sales].[Date (Month Index)].[All]" allUniqueName="[Q- sales].[Date (Month Index)].[All]" dimensionUniqueName="[Q- sales]" displayFolder="" count="0" memberValueDatatype="20" unbalanced="0" hidden="1"/>
    <cacheHierarchy uniqueName="[Measures].[Sum of Profit]" caption="Sum of Profit" measure="1" displayFolder="" measureGroup="Q- sale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Q- sales" count="0"/>
    <cacheHierarchy uniqueName="[Measures].[Total Profit]" caption="Total Profit" measure="1" displayFolder="" measureGroup="Q- sales" count="0"/>
    <cacheHierarchy uniqueName="[Measures].[Profit Margine %]" caption="Profit Margine %" measure="1" displayFolder="" measureGroup="Q- sales" count="0"/>
    <cacheHierarchy uniqueName="[Measures].[Category Share %]" caption="Category Share %" measure="1" displayFolder="" measureGroup="Q- sales" count="0"/>
    <cacheHierarchy uniqueName="[Measures].[Product Share %]" caption="Product Share %" measure="1" displayFolder="" measureGroup="Q- sales" count="0"/>
    <cacheHierarchy uniqueName="[Measures].[Total sales]" caption="Total sales" measure="1" displayFolder="" measureGroup="Q- sales" count="0"/>
    <cacheHierarchy uniqueName="[Measures].[__XL_Count Q - products]" caption="__XL_Count Q - products" measure="1" displayFolder="" measureGroup="Q - products" count="0" hidden="1"/>
    <cacheHierarchy uniqueName="[Measures].[__XL_Count Q- Customers]" caption="__XL_Count Q- Customers" measure="1" displayFolder="" measureGroup="Q- Customers" count="0" hidden="1"/>
    <cacheHierarchy uniqueName="[Measures].[__XL_Count Q- sales]" caption="__XL_Count Q- sales" measure="1" displayFolder="" measureGroup="Q- sales" count="0" hidden="1"/>
    <cacheHierarchy uniqueName="[Measures].[__XL_Count Date Table]" caption="__XL_Count Date Table" measure="1" displayFolder="" measureGroup="Dat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155958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FEC5E5-CD85-4AA6-97BB-ED3F20DB3086}" name="PivotTable1" cacheId="99" applyNumberFormats="0" applyBorderFormats="0" applyFontFormats="0" applyPatternFormats="0" applyAlignmentFormats="0" applyWidthHeightFormats="1" dataCaption="Values" tag="b53f7aa7-c8d6-47ee-99a5-9ff27edfb05b" updatedVersion="7" minRefreshableVersion="3" useAutoFormatting="1" itemPrintTitles="1" createdVersion="5" indent="0" outline="1" outlineData="1" multipleFieldFilters="0">
  <location ref="B3:D20" firstHeaderRow="1" firstDataRow="1" firstDataCol="0"/>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0E2A02-16E0-4049-8828-5E076A781A67}" name="PivotTable1" cacheId="104" applyNumberFormats="0" applyBorderFormats="0" applyFontFormats="0" applyPatternFormats="0" applyAlignmentFormats="0" applyWidthHeightFormats="1" dataCaption="Values" tag="ce44627e-207c-42ae-87be-90f3a41ac585" updatedVersion="7" minRefreshableVersion="5" useAutoFormatting="1" subtotalHiddenItems="1" itemPrintTitles="1" createdVersion="5" indent="0" outline="1" outlineData="1" multipleFieldFilters="0" chartFormat="1">
  <location ref="B3:E10" firstHeaderRow="0" firstDataRow="1" firstDataCol="1"/>
  <pivotFields count="7">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 dataField="1" subtotalTop="0" showAll="0" defaultSubtotal="0"/>
  </pivotFields>
  <rowFields count="3">
    <field x="0"/>
    <field x="4"/>
    <field x="5"/>
  </rowFields>
  <rowItems count="7">
    <i>
      <x/>
    </i>
    <i r="1">
      <x/>
    </i>
    <i r="2">
      <x/>
    </i>
    <i>
      <x v="1"/>
    </i>
    <i r="1">
      <x/>
    </i>
    <i r="2">
      <x/>
    </i>
    <i t="grand">
      <x/>
    </i>
  </rowItems>
  <colFields count="1">
    <field x="-2"/>
  </colFields>
  <colItems count="3">
    <i>
      <x/>
    </i>
    <i i="1">
      <x v="1"/>
    </i>
    <i i="2">
      <x v="2"/>
    </i>
  </colItems>
  <dataFields count="3">
    <dataField fld="1" subtotal="count" baseField="0" baseItem="0"/>
    <dataField fld="2" subtotal="count" baseField="0" baseItem="0"/>
    <dataField fld="6" subtotal="count" baseField="0" baseItem="0"/>
  </dataFields>
  <formats count="21">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47" name="[Q- sales].[Date]">
      <autoFilter ref="A1">
        <filterColumn colId="0">
          <customFilters and="1">
            <customFilter operator="greaterThanOrEqual" val="46023"/>
            <customFilter operator="lessThanOrEqual" val="46081"/>
          </customFilters>
        </filterColumn>
      </autoFilter>
      <extLst>
        <ext xmlns:x15="http://schemas.microsoft.com/office/spreadsheetml/2010/11/main" uri="{0605FD5F-26C8-4aeb-8148-2DB25E43C511}">
          <x15:pivotFilter useWholeDay="1"/>
        </ext>
      </extLst>
    </filter>
  </filters>
  <rowHierarchiesUsage count="3">
    <rowHierarchyUsage hierarchyUsage="22"/>
    <rowHierarchyUsage hierarchyUsage="7"/>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 sales]"/>
        <x15:activeTabTopLevelEntity name="[Q -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C03722-1FCA-465B-9482-E5324987FB7C}" name="PivotTable2" cacheId="121" applyNumberFormats="0" applyBorderFormats="0" applyFontFormats="0" applyPatternFormats="0" applyAlignmentFormats="0" applyWidthHeightFormats="1" dataCaption="Values" tag="c3f92c24-96a9-44ad-8217-c209c5c672e6" updatedVersion="7" minRefreshableVersion="5" useAutoFormatting="1" itemPrintTitles="1" createdVersion="5" indent="0" outline="1" outlineData="1" multipleFieldFilters="0" chartFormat="1">
  <location ref="B21:O26" firstHeaderRow="1" firstDataRow="2"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s>
  <rowFields count="1">
    <field x="1"/>
  </rowFields>
  <rowItems count="4">
    <i>
      <x/>
    </i>
    <i>
      <x v="1"/>
    </i>
    <i>
      <x v="2"/>
    </i>
    <i t="grand">
      <x/>
    </i>
  </rowItems>
  <colFields count="1">
    <field x="2"/>
  </colFields>
  <colItems count="13">
    <i>
      <x/>
    </i>
    <i>
      <x v="1"/>
    </i>
    <i>
      <x v="2"/>
    </i>
    <i>
      <x v="3"/>
    </i>
    <i>
      <x v="4"/>
    </i>
    <i>
      <x v="5"/>
    </i>
    <i>
      <x v="6"/>
    </i>
    <i>
      <x v="7"/>
    </i>
    <i>
      <x v="8"/>
    </i>
    <i>
      <x v="9"/>
    </i>
    <i>
      <x v="10"/>
    </i>
    <i>
      <x v="11"/>
    </i>
    <i t="grand">
      <x/>
    </i>
  </colItems>
  <dataFields count="1">
    <dataField fld="0" subtotal="count" baseField="0" baseItem="0"/>
  </dataFields>
  <chartFormats count="5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13" series="1">
      <pivotArea type="data" outline="0" fieldPosition="0">
        <references count="2">
          <reference field="4294967294" count="1" selected="0">
            <x v="0"/>
          </reference>
          <reference field="2" count="1" selected="0">
            <x v="0"/>
          </reference>
        </references>
      </pivotArea>
    </chartFormat>
    <chartFormat chart="0" format="14">
      <pivotArea type="data" outline="0" fieldPosition="0">
        <references count="3">
          <reference field="4294967294" count="1" selected="0">
            <x v="0"/>
          </reference>
          <reference field="1" count="1" selected="0">
            <x v="0"/>
          </reference>
          <reference field="2" count="1" selected="0">
            <x v="0"/>
          </reference>
        </references>
      </pivotArea>
    </chartFormat>
    <chartFormat chart="0" format="15">
      <pivotArea type="data" outline="0" fieldPosition="0">
        <references count="3">
          <reference field="4294967294" count="1" selected="0">
            <x v="0"/>
          </reference>
          <reference field="1" count="1" selected="0">
            <x v="1"/>
          </reference>
          <reference field="2" count="1" selected="0">
            <x v="0"/>
          </reference>
        </references>
      </pivotArea>
    </chartFormat>
    <chartFormat chart="0" format="16">
      <pivotArea type="data" outline="0" fieldPosition="0">
        <references count="3">
          <reference field="4294967294" count="1" selected="0">
            <x v="0"/>
          </reference>
          <reference field="1" count="1" selected="0">
            <x v="2"/>
          </reference>
          <reference field="2" count="1" selected="0">
            <x v="0"/>
          </reference>
        </references>
      </pivotArea>
    </chartFormat>
    <chartFormat chart="0" format="17" series="1">
      <pivotArea type="data" outline="0" fieldPosition="0">
        <references count="2">
          <reference field="4294967294" count="1" selected="0">
            <x v="0"/>
          </reference>
          <reference field="2" count="1" selected="0">
            <x v="1"/>
          </reference>
        </references>
      </pivotArea>
    </chartFormat>
    <chartFormat chart="0" format="18">
      <pivotArea type="data" outline="0" fieldPosition="0">
        <references count="3">
          <reference field="4294967294" count="1" selected="0">
            <x v="0"/>
          </reference>
          <reference field="1" count="1" selected="0">
            <x v="0"/>
          </reference>
          <reference field="2" count="1" selected="0">
            <x v="1"/>
          </reference>
        </references>
      </pivotArea>
    </chartFormat>
    <chartFormat chart="0" format="19">
      <pivotArea type="data" outline="0" fieldPosition="0">
        <references count="3">
          <reference field="4294967294" count="1" selected="0">
            <x v="0"/>
          </reference>
          <reference field="1" count="1" selected="0">
            <x v="1"/>
          </reference>
          <reference field="2" count="1" selected="0">
            <x v="1"/>
          </reference>
        </references>
      </pivotArea>
    </chartFormat>
    <chartFormat chart="0" format="20">
      <pivotArea type="data" outline="0" fieldPosition="0">
        <references count="3">
          <reference field="4294967294" count="1" selected="0">
            <x v="0"/>
          </reference>
          <reference field="1" count="1" selected="0">
            <x v="2"/>
          </reference>
          <reference field="2" count="1" selected="0">
            <x v="1"/>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 chart="0" format="22">
      <pivotArea type="data" outline="0" fieldPosition="0">
        <references count="3">
          <reference field="4294967294" count="1" selected="0">
            <x v="0"/>
          </reference>
          <reference field="1" count="1" selected="0">
            <x v="0"/>
          </reference>
          <reference field="2" count="1" selected="0">
            <x v="2"/>
          </reference>
        </references>
      </pivotArea>
    </chartFormat>
    <chartFormat chart="0" format="23">
      <pivotArea type="data" outline="0" fieldPosition="0">
        <references count="3">
          <reference field="4294967294" count="1" selected="0">
            <x v="0"/>
          </reference>
          <reference field="1" count="1" selected="0">
            <x v="1"/>
          </reference>
          <reference field="2" count="1" selected="0">
            <x v="2"/>
          </reference>
        </references>
      </pivotArea>
    </chartFormat>
    <chartFormat chart="0" format="24">
      <pivotArea type="data" outline="0" fieldPosition="0">
        <references count="3">
          <reference field="4294967294" count="1" selected="0">
            <x v="0"/>
          </reference>
          <reference field="1" count="1" selected="0">
            <x v="2"/>
          </reference>
          <reference field="2" count="1" selected="0">
            <x v="2"/>
          </reference>
        </references>
      </pivotArea>
    </chartFormat>
    <chartFormat chart="0" format="25" series="1">
      <pivotArea type="data" outline="0" fieldPosition="0">
        <references count="2">
          <reference field="4294967294" count="1" selected="0">
            <x v="0"/>
          </reference>
          <reference field="2" count="1" selected="0">
            <x v="3"/>
          </reference>
        </references>
      </pivotArea>
    </chartFormat>
    <chartFormat chart="0" format="26">
      <pivotArea type="data" outline="0" fieldPosition="0">
        <references count="3">
          <reference field="4294967294" count="1" selected="0">
            <x v="0"/>
          </reference>
          <reference field="1" count="1" selected="0">
            <x v="0"/>
          </reference>
          <reference field="2" count="1" selected="0">
            <x v="3"/>
          </reference>
        </references>
      </pivotArea>
    </chartFormat>
    <chartFormat chart="0" format="27">
      <pivotArea type="data" outline="0" fieldPosition="0">
        <references count="3">
          <reference field="4294967294" count="1" selected="0">
            <x v="0"/>
          </reference>
          <reference field="1" count="1" selected="0">
            <x v="1"/>
          </reference>
          <reference field="2" count="1" selected="0">
            <x v="3"/>
          </reference>
        </references>
      </pivotArea>
    </chartFormat>
    <chartFormat chart="0" format="28">
      <pivotArea type="data" outline="0" fieldPosition="0">
        <references count="3">
          <reference field="4294967294" count="1" selected="0">
            <x v="0"/>
          </reference>
          <reference field="1" count="1" selected="0">
            <x v="2"/>
          </reference>
          <reference field="2" count="1" selected="0">
            <x v="3"/>
          </reference>
        </references>
      </pivotArea>
    </chartFormat>
    <chartFormat chart="0" format="29" series="1">
      <pivotArea type="data" outline="0" fieldPosition="0">
        <references count="2">
          <reference field="4294967294" count="1" selected="0">
            <x v="0"/>
          </reference>
          <reference field="2" count="1" selected="0">
            <x v="4"/>
          </reference>
        </references>
      </pivotArea>
    </chartFormat>
    <chartFormat chart="0" format="30">
      <pivotArea type="data" outline="0" fieldPosition="0">
        <references count="3">
          <reference field="4294967294" count="1" selected="0">
            <x v="0"/>
          </reference>
          <reference field="1" count="1" selected="0">
            <x v="0"/>
          </reference>
          <reference field="2" count="1" selected="0">
            <x v="4"/>
          </reference>
        </references>
      </pivotArea>
    </chartFormat>
    <chartFormat chart="0" format="31">
      <pivotArea type="data" outline="0" fieldPosition="0">
        <references count="3">
          <reference field="4294967294" count="1" selected="0">
            <x v="0"/>
          </reference>
          <reference field="1" count="1" selected="0">
            <x v="1"/>
          </reference>
          <reference field="2" count="1" selected="0">
            <x v="4"/>
          </reference>
        </references>
      </pivotArea>
    </chartFormat>
    <chartFormat chart="0" format="32">
      <pivotArea type="data" outline="0" fieldPosition="0">
        <references count="3">
          <reference field="4294967294" count="1" selected="0">
            <x v="0"/>
          </reference>
          <reference field="1" count="1" selected="0">
            <x v="2"/>
          </reference>
          <reference field="2" count="1" selected="0">
            <x v="4"/>
          </reference>
        </references>
      </pivotArea>
    </chartFormat>
    <chartFormat chart="0" format="33" series="1">
      <pivotArea type="data" outline="0" fieldPosition="0">
        <references count="2">
          <reference field="4294967294" count="1" selected="0">
            <x v="0"/>
          </reference>
          <reference field="2" count="1" selected="0">
            <x v="5"/>
          </reference>
        </references>
      </pivotArea>
    </chartFormat>
    <chartFormat chart="0" format="34">
      <pivotArea type="data" outline="0" fieldPosition="0">
        <references count="3">
          <reference field="4294967294" count="1" selected="0">
            <x v="0"/>
          </reference>
          <reference field="1" count="1" selected="0">
            <x v="0"/>
          </reference>
          <reference field="2" count="1" selected="0">
            <x v="5"/>
          </reference>
        </references>
      </pivotArea>
    </chartFormat>
    <chartFormat chart="0" format="35">
      <pivotArea type="data" outline="0" fieldPosition="0">
        <references count="3">
          <reference field="4294967294" count="1" selected="0">
            <x v="0"/>
          </reference>
          <reference field="1" count="1" selected="0">
            <x v="1"/>
          </reference>
          <reference field="2" count="1" selected="0">
            <x v="5"/>
          </reference>
        </references>
      </pivotArea>
    </chartFormat>
    <chartFormat chart="0" format="36">
      <pivotArea type="data" outline="0" fieldPosition="0">
        <references count="3">
          <reference field="4294967294" count="1" selected="0">
            <x v="0"/>
          </reference>
          <reference field="1" count="1" selected="0">
            <x v="2"/>
          </reference>
          <reference field="2" count="1" selected="0">
            <x v="5"/>
          </reference>
        </references>
      </pivotArea>
    </chartFormat>
    <chartFormat chart="0" format="37" series="1">
      <pivotArea type="data" outline="0" fieldPosition="0">
        <references count="2">
          <reference field="4294967294" count="1" selected="0">
            <x v="0"/>
          </reference>
          <reference field="2" count="1" selected="0">
            <x v="6"/>
          </reference>
        </references>
      </pivotArea>
    </chartFormat>
    <chartFormat chart="0" format="38">
      <pivotArea type="data" outline="0" fieldPosition="0">
        <references count="3">
          <reference field="4294967294" count="1" selected="0">
            <x v="0"/>
          </reference>
          <reference field="1" count="1" selected="0">
            <x v="0"/>
          </reference>
          <reference field="2" count="1" selected="0">
            <x v="6"/>
          </reference>
        </references>
      </pivotArea>
    </chartFormat>
    <chartFormat chart="0" format="39">
      <pivotArea type="data" outline="0" fieldPosition="0">
        <references count="3">
          <reference field="4294967294" count="1" selected="0">
            <x v="0"/>
          </reference>
          <reference field="1" count="1" selected="0">
            <x v="1"/>
          </reference>
          <reference field="2" count="1" selected="0">
            <x v="6"/>
          </reference>
        </references>
      </pivotArea>
    </chartFormat>
    <chartFormat chart="0" format="40">
      <pivotArea type="data" outline="0" fieldPosition="0">
        <references count="3">
          <reference field="4294967294" count="1" selected="0">
            <x v="0"/>
          </reference>
          <reference field="1" count="1" selected="0">
            <x v="2"/>
          </reference>
          <reference field="2" count="1" selected="0">
            <x v="6"/>
          </reference>
        </references>
      </pivotArea>
    </chartFormat>
    <chartFormat chart="0" format="41" series="1">
      <pivotArea type="data" outline="0" fieldPosition="0">
        <references count="2">
          <reference field="4294967294" count="1" selected="0">
            <x v="0"/>
          </reference>
          <reference field="2" count="1" selected="0">
            <x v="7"/>
          </reference>
        </references>
      </pivotArea>
    </chartFormat>
    <chartFormat chart="0" format="42">
      <pivotArea type="data" outline="0" fieldPosition="0">
        <references count="3">
          <reference field="4294967294" count="1" selected="0">
            <x v="0"/>
          </reference>
          <reference field="1" count="1" selected="0">
            <x v="0"/>
          </reference>
          <reference field="2" count="1" selected="0">
            <x v="7"/>
          </reference>
        </references>
      </pivotArea>
    </chartFormat>
    <chartFormat chart="0" format="43">
      <pivotArea type="data" outline="0" fieldPosition="0">
        <references count="3">
          <reference field="4294967294" count="1" selected="0">
            <x v="0"/>
          </reference>
          <reference field="1" count="1" selected="0">
            <x v="1"/>
          </reference>
          <reference field="2" count="1" selected="0">
            <x v="7"/>
          </reference>
        </references>
      </pivotArea>
    </chartFormat>
    <chartFormat chart="0" format="44">
      <pivotArea type="data" outline="0" fieldPosition="0">
        <references count="3">
          <reference field="4294967294" count="1" selected="0">
            <x v="0"/>
          </reference>
          <reference field="1" count="1" selected="0">
            <x v="2"/>
          </reference>
          <reference field="2" count="1" selected="0">
            <x v="7"/>
          </reference>
        </references>
      </pivotArea>
    </chartFormat>
    <chartFormat chart="0" format="45" series="1">
      <pivotArea type="data" outline="0" fieldPosition="0">
        <references count="2">
          <reference field="4294967294" count="1" selected="0">
            <x v="0"/>
          </reference>
          <reference field="2" count="1" selected="0">
            <x v="8"/>
          </reference>
        </references>
      </pivotArea>
    </chartFormat>
    <chartFormat chart="0" format="46">
      <pivotArea type="data" outline="0" fieldPosition="0">
        <references count="3">
          <reference field="4294967294" count="1" selected="0">
            <x v="0"/>
          </reference>
          <reference field="1" count="1" selected="0">
            <x v="0"/>
          </reference>
          <reference field="2" count="1" selected="0">
            <x v="8"/>
          </reference>
        </references>
      </pivotArea>
    </chartFormat>
    <chartFormat chart="0" format="47">
      <pivotArea type="data" outline="0" fieldPosition="0">
        <references count="3">
          <reference field="4294967294" count="1" selected="0">
            <x v="0"/>
          </reference>
          <reference field="1" count="1" selected="0">
            <x v="1"/>
          </reference>
          <reference field="2" count="1" selected="0">
            <x v="8"/>
          </reference>
        </references>
      </pivotArea>
    </chartFormat>
    <chartFormat chart="0" format="48">
      <pivotArea type="data" outline="0" fieldPosition="0">
        <references count="3">
          <reference field="4294967294" count="1" selected="0">
            <x v="0"/>
          </reference>
          <reference field="1" count="1" selected="0">
            <x v="2"/>
          </reference>
          <reference field="2" count="1" selected="0">
            <x v="8"/>
          </reference>
        </references>
      </pivotArea>
    </chartFormat>
    <chartFormat chart="0" format="49" series="1">
      <pivotArea type="data" outline="0" fieldPosition="0">
        <references count="2">
          <reference field="4294967294" count="1" selected="0">
            <x v="0"/>
          </reference>
          <reference field="2" count="1" selected="0">
            <x v="9"/>
          </reference>
        </references>
      </pivotArea>
    </chartFormat>
    <chartFormat chart="0" format="50">
      <pivotArea type="data" outline="0" fieldPosition="0">
        <references count="3">
          <reference field="4294967294" count="1" selected="0">
            <x v="0"/>
          </reference>
          <reference field="1" count="1" selected="0">
            <x v="0"/>
          </reference>
          <reference field="2" count="1" selected="0">
            <x v="9"/>
          </reference>
        </references>
      </pivotArea>
    </chartFormat>
    <chartFormat chart="0" format="51">
      <pivotArea type="data" outline="0" fieldPosition="0">
        <references count="3">
          <reference field="4294967294" count="1" selected="0">
            <x v="0"/>
          </reference>
          <reference field="1" count="1" selected="0">
            <x v="1"/>
          </reference>
          <reference field="2" count="1" selected="0">
            <x v="9"/>
          </reference>
        </references>
      </pivotArea>
    </chartFormat>
    <chartFormat chart="0" format="52">
      <pivotArea type="data" outline="0" fieldPosition="0">
        <references count="3">
          <reference field="4294967294" count="1" selected="0">
            <x v="0"/>
          </reference>
          <reference field="1" count="1" selected="0">
            <x v="2"/>
          </reference>
          <reference field="2" count="1" selected="0">
            <x v="9"/>
          </reference>
        </references>
      </pivotArea>
    </chartFormat>
    <chartFormat chart="0" format="53" series="1">
      <pivotArea type="data" outline="0" fieldPosition="0">
        <references count="2">
          <reference field="4294967294" count="1" selected="0">
            <x v="0"/>
          </reference>
          <reference field="2" count="1" selected="0">
            <x v="10"/>
          </reference>
        </references>
      </pivotArea>
    </chartFormat>
    <chartFormat chart="0" format="54">
      <pivotArea type="data" outline="0" fieldPosition="0">
        <references count="3">
          <reference field="4294967294" count="1" selected="0">
            <x v="0"/>
          </reference>
          <reference field="1" count="1" selected="0">
            <x v="0"/>
          </reference>
          <reference field="2" count="1" selected="0">
            <x v="10"/>
          </reference>
        </references>
      </pivotArea>
    </chartFormat>
    <chartFormat chart="0" format="55">
      <pivotArea type="data" outline="0" fieldPosition="0">
        <references count="3">
          <reference field="4294967294" count="1" selected="0">
            <x v="0"/>
          </reference>
          <reference field="1" count="1" selected="0">
            <x v="1"/>
          </reference>
          <reference field="2" count="1" selected="0">
            <x v="10"/>
          </reference>
        </references>
      </pivotArea>
    </chartFormat>
    <chartFormat chart="0" format="56">
      <pivotArea type="data" outline="0" fieldPosition="0">
        <references count="3">
          <reference field="4294967294" count="1" selected="0">
            <x v="0"/>
          </reference>
          <reference field="1" count="1" selected="0">
            <x v="2"/>
          </reference>
          <reference field="2" count="1" selected="0">
            <x v="10"/>
          </reference>
        </references>
      </pivotArea>
    </chartFormat>
    <chartFormat chart="0" format="57" series="1">
      <pivotArea type="data" outline="0" fieldPosition="0">
        <references count="2">
          <reference field="4294967294" count="1" selected="0">
            <x v="0"/>
          </reference>
          <reference field="2" count="1" selected="0">
            <x v="11"/>
          </reference>
        </references>
      </pivotArea>
    </chartFormat>
    <chartFormat chart="0" format="58">
      <pivotArea type="data" outline="0" fieldPosition="0">
        <references count="3">
          <reference field="4294967294" count="1" selected="0">
            <x v="0"/>
          </reference>
          <reference field="1" count="1" selected="0">
            <x v="0"/>
          </reference>
          <reference field="2" count="1" selected="0">
            <x v="11"/>
          </reference>
        </references>
      </pivotArea>
    </chartFormat>
    <chartFormat chart="0" format="59">
      <pivotArea type="data" outline="0" fieldPosition="0">
        <references count="3">
          <reference field="4294967294" count="1" selected="0">
            <x v="0"/>
          </reference>
          <reference field="1" count="1" selected="0">
            <x v="1"/>
          </reference>
          <reference field="2" count="1" selected="0">
            <x v="11"/>
          </reference>
        </references>
      </pivotArea>
    </chartFormat>
    <chartFormat chart="0" format="60">
      <pivotArea type="data" outline="0" fieldPosition="0">
        <references count="3">
          <reference field="4294967294" count="1" selected="0">
            <x v="0"/>
          </reference>
          <reference field="1" count="1" selected="0">
            <x v="2"/>
          </reference>
          <reference field="2" count="1" selected="0">
            <x v="1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 sales]"/>
        <x15:activeTabTopLevelEntity name="[Q -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9D9DC1-0668-404A-9D21-C5E1C2B04408}" name="PivotTable3" cacheId="124" applyNumberFormats="0" applyBorderFormats="0" applyFontFormats="0" applyPatternFormats="0" applyAlignmentFormats="0" applyWidthHeightFormats="1" dataCaption="Values" tag="21ba73e7-fdb6-454f-bff7-9bd0d75c3a9f" updatedVersion="7" minRefreshableVersion="5" useAutoFormatting="1" itemPrintTitles="1" createdVersion="5"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FA3B48-28FC-4057-9C2E-8EDF3E87E1D4}" name="PivotTable1" cacheId="118" applyNumberFormats="0" applyBorderFormats="0" applyFontFormats="0" applyPatternFormats="0" applyAlignmentFormats="0" applyWidthHeightFormats="1" dataCaption="Values" tag="d4b1cdd8-869b-4e47-86bf-1da294f98da4" updatedVersion="7" minRefreshableVersion="5" useAutoFormatting="1" subtotalHiddenItems="1" itemPrintTitles="1" createdVersion="5" indent="0" outline="1" outlineData="1" multipleFieldFilters="0" chartFormat="1">
  <location ref="B3:F7"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Fields count="1">
    <field x="-2"/>
  </colFields>
  <colItems count="4">
    <i>
      <x/>
    </i>
    <i i="1">
      <x v="1"/>
    </i>
    <i i="2">
      <x v="2"/>
    </i>
    <i i="3">
      <x v="3"/>
    </i>
  </colItems>
  <dataFields count="4">
    <dataField fld="0" subtotal="count" baseField="0" baseItem="0"/>
    <dataField fld="1" subtotal="count" baseField="0" baseItem="0"/>
    <dataField fld="3" subtotal="count" baseField="0" baseItem="0"/>
    <dataField fld="4" subtotal="count" baseField="0" baseItem="0"/>
  </dataFields>
  <chartFormats count="4">
    <chartFormat chart="0" format="2"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0" format="9" series="1">
      <pivotArea type="data" outline="0" fieldPosition="0">
        <references count="1">
          <reference field="4294967294" count="1" selected="0">
            <x v="3"/>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 sales]"/>
        <x15:activeTabTopLevelEntity name="[Q -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64989C-FA3B-4B19-8951-1490E18675E7}" name="PivotTable4" cacheId="112" applyNumberFormats="0" applyBorderFormats="0" applyFontFormats="0" applyPatternFormats="0" applyAlignmentFormats="0" applyWidthHeightFormats="1" dataCaption="Values" tag="f9e06c1f-4564-4c6f-8165-b012dc8ca8ff" updatedVersion="7" minRefreshableVersion="5" useAutoFormatting="1" itemPrintTitles="1" createdVersion="5" indent="0" outline="1" outlineData="1" multipleFieldFilters="0" chartFormat="3">
  <location ref="B3:D1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Table]"/>
        <x15:activeTabTopLevelEntity name="[Q-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82BDA1-14A9-4356-B773-743389DB6633}" name="PivotTable5" cacheId="127" applyNumberFormats="0" applyBorderFormats="0" applyFontFormats="0" applyPatternFormats="0" applyAlignmentFormats="0" applyWidthHeightFormats="1" dataCaption="Values" tag="bf9a4c26-be6e-4386-9377-42b9393b5306" updatedVersion="7" minRefreshableVersion="5" useAutoFormatting="1" itemPrintTitles="1" createdVersion="5" indent="0" outline="1" outlineData="1" multipleFieldFilters="0" chartFormat="3">
  <location ref="B3:D7"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 - products]"/>
        <x15:activeTabTopLevelEntity name="[Q-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DC4EBA-8C7E-4721-B547-2131FC06288E}" name="PivotTable6" cacheId="115" applyNumberFormats="0" applyBorderFormats="0" applyFontFormats="0" applyPatternFormats="0" applyAlignmentFormats="0" applyWidthHeightFormats="1" dataCaption="Values" tag="8f02b899-5fc3-4a2f-abc8-4c0103f98343" updatedVersion="7" minRefreshableVersion="5" useAutoFormatting="1" itemPrintTitles="1" createdVersion="5" indent="0" outline="1" outlineData="1" multipleFieldFilters="0" chartFormat="4">
  <location ref="B3:C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2"/>
    </i>
    <i>
      <x v="4"/>
    </i>
    <i>
      <x/>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 - products]"/>
        <x15:activeTabTopLevelEntity name="[Q-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DAC9FB-D53A-477B-97B0-27CC11E58B67}" name="PivotTable7" cacheId="109" applyNumberFormats="0" applyBorderFormats="0" applyFontFormats="0" applyPatternFormats="0" applyAlignmentFormats="0" applyWidthHeightFormats="1" dataCaption="Values" tag="fca5df35-4222-4400-988b-bad31009576f" updatedVersion="7" minRefreshableVersion="5" useAutoFormatting="1" itemPrintTitles="1" createdVersion="5" indent="0" outline="1" outlineData="1" multipleFieldFilters="0" chartFormat="3">
  <location ref="B3:C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2"/>
    </i>
    <i>
      <x/>
    </i>
    <i>
      <x v="3"/>
    </i>
    <i>
      <x v="1"/>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 Customers]"/>
        <x15:activeTabTopLevelEntity name="[Q- 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332E0820-18FC-4CFD-B52A-39178543165E}" sourceName="[Q - products].[ProductName]">
  <pivotTables>
    <pivotTable tabId="2" name="PivotTable1"/>
  </pivotTables>
  <data>
    <olap pivotCacheId="2134810667">
      <levels count="2">
        <level uniqueName="[Q - products].[ProductName].[(All)]" sourceCaption="(All)" count="0"/>
        <level uniqueName="[Q - products].[ProductName].[ProductName]" sourceCaption="ProductName" count="15">
          <ranges>
            <range startItem="0">
              <i n="[Q - products].[ProductName].&amp;[Almonds]" c="Almonds"/>
              <i n="[Q - products].[ProductName].&amp;[Black Tea]" c="Black Tea"/>
              <i n="[Q - products].[ProductName].&amp;[Chamomile Tea]" c="Chamomile Tea"/>
              <i n="[Q - products].[ProductName].&amp;[Dates]" c="Dates"/>
              <i n="[Q - products].[ProductName].&amp;[Fruit Jam]" c="Fruit Jam"/>
              <i n="[Q - products].[ProductName].&amp;[Green Tea]" c="Green Tea"/>
              <i n="[Q - products].[ProductName].&amp;[Hibiscus]" c="Hibiscus"/>
              <i n="[Q - products].[ProductName].&amp;[Mint]" c="Mint"/>
              <i n="[Q - products].[ProductName].&amp;[Organic Honey]" c="Organic Honey"/>
              <i n="[Q - products].[ProductName].&amp;[Peanut Butter]" c="Peanut Butter"/>
              <i n="[Q - products].[ProductName].&amp;[Pistachios]" c="Pistachios"/>
              <i n="[Q - products].[ProductName].&amp;[Raisins]" c="Raisins"/>
              <i n="[Q - products].[ProductName].&amp;[Saffron Tea]" c="Saffron Tea"/>
              <i n="[Q - products].[ProductName].&amp;[Tahini]" c="Tahini"/>
              <i n="[Q - products].[ProductName].&amp;[Walnuts]" c="Walnuts"/>
            </range>
          </ranges>
        </level>
      </levels>
      <selections count="1">
        <selection n="[Q - products].[Product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1" xr10:uid="{6FCD8B36-043E-4D8E-8452-6088A39E294E}" sourceName="[Q - products].[ProductName]">
  <pivotTables>
    <pivotTable tabId="3" name="PivotTable1"/>
  </pivotTables>
  <data>
    <olap pivotCacheId="1610503690">
      <levels count="2">
        <level uniqueName="[Q - products].[ProductName].[(All)]" sourceCaption="(All)" count="0"/>
        <level uniqueName="[Q - products].[ProductName].[ProductName]" sourceCaption="ProductName" count="15">
          <ranges>
            <range startItem="0">
              <i n="[Q - products].[ProductName].&amp;[Almonds]" c="Almonds"/>
              <i n="[Q - products].[ProductName].&amp;[Black Tea]" c="Black Tea"/>
              <i n="[Q - products].[ProductName].&amp;[Chamomile Tea]" c="Chamomile Tea"/>
              <i n="[Q - products].[ProductName].&amp;[Dates]" c="Dates"/>
              <i n="[Q - products].[ProductName].&amp;[Fruit Jam]" c="Fruit Jam"/>
              <i n="[Q - products].[ProductName].&amp;[Green Tea]" c="Green Tea"/>
              <i n="[Q - products].[ProductName].&amp;[Hibiscus]" c="Hibiscus"/>
              <i n="[Q - products].[ProductName].&amp;[Mint]" c="Mint"/>
              <i n="[Q - products].[ProductName].&amp;[Organic Honey]" c="Organic Honey"/>
              <i n="[Q - products].[ProductName].&amp;[Peanut Butter]" c="Peanut Butter"/>
              <i n="[Q - products].[ProductName].&amp;[Pistachios]" c="Pistachios"/>
              <i n="[Q - products].[ProductName].&amp;[Raisins]" c="Raisins"/>
              <i n="[Q - products].[ProductName].&amp;[Saffron Tea]" c="Saffron Tea"/>
              <i n="[Q - products].[ProductName].&amp;[Tahini]" c="Tahini"/>
              <i n="[Q - products].[ProductName].&amp;[Walnuts]" c="Walnuts"/>
            </range>
          </ranges>
        </level>
      </levels>
      <selections count="1">
        <selection n="[Q - products].[ProductName].&amp;[Almond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609F49B-2B33-4293-AD2A-91C04001D126}" sourceName="[Q - products].[Category]">
  <pivotTables>
    <pivotTable tabId="7" name="PivotTable5"/>
    <pivotTable tabId="9" name="PivotTable7"/>
    <pivotTable tabId="6" name="PivotTable4"/>
    <pivotTable tabId="8" name="PivotTable6"/>
    <pivotTable tabId="2" name="PivotTable1"/>
    <pivotTable tabId="2" name="PivotTable2"/>
    <pivotTable tabId="2" name="PivotTable3"/>
  </pivotTables>
  <data>
    <olap pivotCacheId="2134810667">
      <levels count="2">
        <level uniqueName="[Q - products].[Category].[(All)]" sourceCaption="(All)" count="0"/>
        <level uniqueName="[Q - products].[Category].[Category]" sourceCaption="Category" count="3">
          <ranges>
            <range startItem="0">
              <i n="[Q - products].[Category].&amp;[Beverage]" c="Beverage"/>
              <i n="[Q - products].[Category].&amp;[Dry Fruit]" c="Dry Fruit"/>
              <i n="[Q - products].[Category].&amp;[Food]" c="Food"/>
            </range>
          </ranges>
        </level>
      </levels>
      <selections count="1">
        <selection n="[Q - 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1" xr10:uid="{86F59B0C-F68E-4F93-8481-8CCD598548B9}" cache="Slicer_ProductName1" caption="Product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1DF474CA-9C1C-44D2-B2AA-D2B722A92195}" cache="Slicer_ProductName" caption="ProductName" level="1" rowHeight="234950"/>
  <slicer name="Category" xr10:uid="{72438BA2-B443-4BDE-B015-5F00378DDEEB}" cache="Slicer_Category1" caption="Catego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3F84C62-3A88-4A3F-B7DE-8369B49485EA}" cache="Slicer_Category1" caption="Catego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C5B5A5BB-37ED-495A-AD2C-5299C8F9D4C7}" sourceName="[Q- sales].[Date]">
  <pivotTables>
    <pivotTable tabId="3" name="PivotTable1"/>
  </pivotTables>
  <state minimalRefreshVersion="6" lastRefreshVersion="6" pivotCacheId="1360594530" filterType="dateBetween">
    <selection startDate="2026-01-01T00:00:00" endDate="2026-02-28T00:00:00"/>
    <bounds startDate="2026-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69575384-BF28-4FB0-BCC7-3248FE3E0CE1}" sourceName="[Date Table].[Date]">
  <pivotTables>
    <pivotTable tabId="6" name="PivotTable4"/>
    <pivotTable tabId="7" name="PivotTable5"/>
    <pivotTable tabId="9" name="PivotTable7"/>
    <pivotTable tabId="8" name="PivotTable6"/>
    <pivotTable tabId="2" name="PivotTable1"/>
    <pivotTable tabId="2" name="PivotTable2"/>
    <pivotTable tabId="2" name="PivotTable3"/>
  </pivotTables>
  <state minimalRefreshVersion="6" lastRefreshVersion="6" pivotCacheId="1415595812"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48C3EA7-649E-496A-8DC8-272F54F11AAB}" cache="Timeline_Date" caption="Date"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E13C62F-859A-4B39-9E5B-AAA984FB5103}" cache="Timeline_Date1" caption="Date" level="2" selectionLevel="2" scrollPosition="2026-06-06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270E-CFBD-4C93-BB52-01353E2D64A5}">
  <dimension ref="B3:D20"/>
  <sheetViews>
    <sheetView workbookViewId="0">
      <selection activeCell="B3" sqref="B3"/>
    </sheetView>
  </sheetViews>
  <sheetFormatPr defaultRowHeight="14.4" x14ac:dyDescent="0.3"/>
  <sheetData>
    <row r="3" spans="2:4" x14ac:dyDescent="0.3">
      <c r="B3" s="12"/>
      <c r="C3" s="13"/>
      <c r="D3" s="14"/>
    </row>
    <row r="4" spans="2:4" x14ac:dyDescent="0.3">
      <c r="B4" s="15"/>
      <c r="C4" s="16"/>
      <c r="D4" s="17"/>
    </row>
    <row r="5" spans="2:4" x14ac:dyDescent="0.3">
      <c r="B5" s="15"/>
      <c r="C5" s="16"/>
      <c r="D5" s="17"/>
    </row>
    <row r="6" spans="2:4" x14ac:dyDescent="0.3">
      <c r="B6" s="15"/>
      <c r="C6" s="16"/>
      <c r="D6" s="17"/>
    </row>
    <row r="7" spans="2:4" x14ac:dyDescent="0.3">
      <c r="B7" s="15"/>
      <c r="C7" s="16"/>
      <c r="D7" s="17"/>
    </row>
    <row r="8" spans="2:4" x14ac:dyDescent="0.3">
      <c r="B8" s="15"/>
      <c r="C8" s="16"/>
      <c r="D8" s="17"/>
    </row>
    <row r="9" spans="2:4" x14ac:dyDescent="0.3">
      <c r="B9" s="15"/>
      <c r="C9" s="16"/>
      <c r="D9" s="17"/>
    </row>
    <row r="10" spans="2:4" x14ac:dyDescent="0.3">
      <c r="B10" s="15"/>
      <c r="C10" s="16"/>
      <c r="D10" s="17"/>
    </row>
    <row r="11" spans="2:4" x14ac:dyDescent="0.3">
      <c r="B11" s="15"/>
      <c r="C11" s="16"/>
      <c r="D11" s="17"/>
    </row>
    <row r="12" spans="2:4" x14ac:dyDescent="0.3">
      <c r="B12" s="15"/>
      <c r="C12" s="16"/>
      <c r="D12" s="17"/>
    </row>
    <row r="13" spans="2:4" x14ac:dyDescent="0.3">
      <c r="B13" s="15"/>
      <c r="C13" s="16"/>
      <c r="D13" s="17"/>
    </row>
    <row r="14" spans="2:4" x14ac:dyDescent="0.3">
      <c r="B14" s="15"/>
      <c r="C14" s="16"/>
      <c r="D14" s="17"/>
    </row>
    <row r="15" spans="2:4" x14ac:dyDescent="0.3">
      <c r="B15" s="15"/>
      <c r="C15" s="16"/>
      <c r="D15" s="17"/>
    </row>
    <row r="16" spans="2:4" x14ac:dyDescent="0.3">
      <c r="B16" s="15"/>
      <c r="C16" s="16"/>
      <c r="D16" s="17"/>
    </row>
    <row r="17" spans="2:4" x14ac:dyDescent="0.3">
      <c r="B17" s="15"/>
      <c r="C17" s="16"/>
      <c r="D17" s="17"/>
    </row>
    <row r="18" spans="2:4" x14ac:dyDescent="0.3">
      <c r="B18" s="15"/>
      <c r="C18" s="16"/>
      <c r="D18" s="17"/>
    </row>
    <row r="19" spans="2:4" x14ac:dyDescent="0.3">
      <c r="B19" s="15"/>
      <c r="C19" s="16"/>
      <c r="D19" s="17"/>
    </row>
    <row r="20" spans="2:4" x14ac:dyDescent="0.3">
      <c r="B20" s="18"/>
      <c r="C20" s="19"/>
      <c r="D20"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DCFD4-4C91-4568-8D18-320ECAA1BD37}">
  <dimension ref="B3:E10"/>
  <sheetViews>
    <sheetView showGridLines="0" zoomScale="80" zoomScaleNormal="80" workbookViewId="0">
      <selection activeCell="I24" sqref="I24"/>
    </sheetView>
  </sheetViews>
  <sheetFormatPr defaultRowHeight="14.4" x14ac:dyDescent="0.3"/>
  <cols>
    <col min="2" max="2" width="13.88671875" bestFit="1" customWidth="1"/>
    <col min="3" max="3" width="15" bestFit="1" customWidth="1"/>
    <col min="4" max="4" width="15.5546875" bestFit="1" customWidth="1"/>
    <col min="5" max="5" width="10.5546875" bestFit="1" customWidth="1"/>
    <col min="6" max="6" width="10.77734375" bestFit="1" customWidth="1"/>
  </cols>
  <sheetData>
    <row r="3" spans="2:5" x14ac:dyDescent="0.3">
      <c r="B3" s="7" t="s">
        <v>0</v>
      </c>
      <c r="C3" s="2" t="s">
        <v>12</v>
      </c>
      <c r="D3" s="2" t="s">
        <v>4</v>
      </c>
      <c r="E3" s="3" t="s">
        <v>3</v>
      </c>
    </row>
    <row r="4" spans="2:5" x14ac:dyDescent="0.3">
      <c r="B4" s="8" t="s">
        <v>10</v>
      </c>
      <c r="C4" s="26"/>
      <c r="D4" s="26"/>
      <c r="E4" s="27"/>
    </row>
    <row r="5" spans="2:5" x14ac:dyDescent="0.3">
      <c r="B5" s="4" t="s">
        <v>16</v>
      </c>
      <c r="C5" s="26"/>
      <c r="D5" s="26"/>
      <c r="E5" s="27"/>
    </row>
    <row r="6" spans="2:5" x14ac:dyDescent="0.3">
      <c r="B6" s="5" t="s">
        <v>6</v>
      </c>
      <c r="C6" s="28">
        <v>0.1203956343792633</v>
      </c>
      <c r="D6" s="28">
        <v>0.41359773371104813</v>
      </c>
      <c r="E6" s="27">
        <v>146</v>
      </c>
    </row>
    <row r="7" spans="2:5" x14ac:dyDescent="0.3">
      <c r="B7" s="8" t="s">
        <v>11</v>
      </c>
      <c r="C7" s="26"/>
      <c r="D7" s="26"/>
      <c r="E7" s="27"/>
    </row>
    <row r="8" spans="2:5" x14ac:dyDescent="0.3">
      <c r="B8" s="4" t="s">
        <v>16</v>
      </c>
      <c r="C8" s="26"/>
      <c r="D8" s="26"/>
      <c r="E8" s="27"/>
    </row>
    <row r="9" spans="2:5" x14ac:dyDescent="0.3">
      <c r="B9" s="5" t="s">
        <v>6</v>
      </c>
      <c r="C9" s="28">
        <v>0.1046048891415577</v>
      </c>
      <c r="D9" s="28">
        <v>0.41304347826086957</v>
      </c>
      <c r="E9" s="27">
        <v>152</v>
      </c>
    </row>
    <row r="10" spans="2:5" x14ac:dyDescent="0.3">
      <c r="B10" s="9" t="s">
        <v>1</v>
      </c>
      <c r="C10" s="6">
        <v>0.1117829457364341</v>
      </c>
      <c r="D10" s="6">
        <v>0.4133148404993065</v>
      </c>
      <c r="E10" s="29">
        <v>298</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A7CBA-1538-4451-8D67-3F5F2BD3D277}">
  <dimension ref="B3:O26"/>
  <sheetViews>
    <sheetView zoomScale="70" zoomScaleNormal="70" workbookViewId="0">
      <selection activeCell="K5" sqref="K5"/>
    </sheetView>
  </sheetViews>
  <sheetFormatPr defaultRowHeight="14.4" x14ac:dyDescent="0.3"/>
  <cols>
    <col min="2" max="2" width="16.33203125" bestFit="1" customWidth="1"/>
    <col min="3" max="3" width="16.77734375" bestFit="1" customWidth="1"/>
    <col min="4" max="7" width="5.77734375" bestFit="1" customWidth="1"/>
    <col min="8" max="8" width="10" bestFit="1" customWidth="1"/>
    <col min="9" max="14" width="5.77734375" bestFit="1" customWidth="1"/>
    <col min="15" max="15" width="11.109375" bestFit="1" customWidth="1"/>
    <col min="16" max="16" width="16" bestFit="1" customWidth="1"/>
    <col min="17" max="17" width="10.5546875" bestFit="1" customWidth="1"/>
    <col min="18" max="18" width="13.44140625" bestFit="1" customWidth="1"/>
    <col min="19" max="19" width="15.5546875" bestFit="1" customWidth="1"/>
    <col min="20" max="20" width="16" bestFit="1" customWidth="1"/>
    <col min="21" max="21" width="10.5546875" bestFit="1" customWidth="1"/>
    <col min="22" max="22" width="13.44140625" bestFit="1" customWidth="1"/>
    <col min="23" max="23" width="15.5546875" bestFit="1" customWidth="1"/>
    <col min="24" max="24" width="16" bestFit="1" customWidth="1"/>
    <col min="25" max="25" width="10.5546875" bestFit="1" customWidth="1"/>
    <col min="26" max="26" width="13.44140625" bestFit="1" customWidth="1"/>
    <col min="27" max="27" width="15.5546875" bestFit="1" customWidth="1"/>
    <col min="28" max="28" width="16" bestFit="1" customWidth="1"/>
    <col min="29" max="29" width="10.5546875" bestFit="1" customWidth="1"/>
    <col min="30" max="30" width="13.44140625" bestFit="1" customWidth="1"/>
    <col min="31" max="31" width="15.5546875" bestFit="1" customWidth="1"/>
    <col min="32" max="32" width="16" bestFit="1" customWidth="1"/>
    <col min="33" max="33" width="10.5546875" bestFit="1" customWidth="1"/>
    <col min="34" max="34" width="13.44140625" bestFit="1" customWidth="1"/>
    <col min="35" max="35" width="15.5546875" bestFit="1" customWidth="1"/>
    <col min="36" max="36" width="16" bestFit="1" customWidth="1"/>
    <col min="37" max="37" width="10.5546875" bestFit="1" customWidth="1"/>
    <col min="38" max="38" width="13.44140625" bestFit="1" customWidth="1"/>
    <col min="39" max="39" width="15.5546875" bestFit="1" customWidth="1"/>
    <col min="40" max="40" width="16" bestFit="1" customWidth="1"/>
    <col min="41" max="41" width="10.5546875" bestFit="1" customWidth="1"/>
    <col min="42" max="42" width="13.44140625" bestFit="1" customWidth="1"/>
    <col min="43" max="43" width="20.44140625" bestFit="1" customWidth="1"/>
    <col min="44" max="44" width="21" bestFit="1" customWidth="1"/>
    <col min="45" max="45" width="15.44140625" bestFit="1" customWidth="1"/>
    <col min="46" max="46" width="18.33203125" bestFit="1" customWidth="1"/>
  </cols>
  <sheetData>
    <row r="3" spans="2:8" x14ac:dyDescent="0.3">
      <c r="B3" s="1" t="s">
        <v>0</v>
      </c>
      <c r="C3" t="s">
        <v>4</v>
      </c>
      <c r="D3" t="s">
        <v>8</v>
      </c>
      <c r="E3" t="s">
        <v>3</v>
      </c>
      <c r="F3" t="s">
        <v>2</v>
      </c>
      <c r="H3" t="s">
        <v>32</v>
      </c>
    </row>
    <row r="4" spans="2:8" x14ac:dyDescent="0.3">
      <c r="B4" s="10" t="s">
        <v>5</v>
      </c>
      <c r="C4" s="11">
        <v>0.49774462179042334</v>
      </c>
      <c r="D4" s="11">
        <v>0.44268653277523906</v>
      </c>
      <c r="E4" s="25">
        <v>11476</v>
      </c>
      <c r="F4" s="25">
        <v>23056</v>
      </c>
      <c r="H4" s="25">
        <v>400</v>
      </c>
    </row>
    <row r="5" spans="2:8" x14ac:dyDescent="0.3">
      <c r="B5" s="10" t="s">
        <v>6</v>
      </c>
      <c r="C5" s="11">
        <v>0.41987615163872527</v>
      </c>
      <c r="D5" s="11">
        <v>0.25425290887446717</v>
      </c>
      <c r="E5" s="25">
        <v>5560</v>
      </c>
      <c r="F5" s="25">
        <v>13242</v>
      </c>
    </row>
    <row r="6" spans="2:8" x14ac:dyDescent="0.3">
      <c r="B6" s="10" t="s">
        <v>7</v>
      </c>
      <c r="C6" s="11">
        <v>0.36828433857070453</v>
      </c>
      <c r="D6" s="11">
        <v>0.30306055835029377</v>
      </c>
      <c r="E6" s="25">
        <v>5813</v>
      </c>
      <c r="F6" s="25">
        <v>15784</v>
      </c>
    </row>
    <row r="7" spans="2:8" x14ac:dyDescent="0.3">
      <c r="B7" s="10" t="s">
        <v>1</v>
      </c>
      <c r="C7" s="11">
        <v>0.43871203102799433</v>
      </c>
      <c r="D7" s="11">
        <v>1</v>
      </c>
      <c r="E7" s="25">
        <v>22849</v>
      </c>
      <c r="F7" s="25">
        <v>52082</v>
      </c>
    </row>
    <row r="21" spans="2:15" x14ac:dyDescent="0.3">
      <c r="B21" s="1" t="s">
        <v>8</v>
      </c>
      <c r="C21" s="1" t="s">
        <v>9</v>
      </c>
    </row>
    <row r="22" spans="2:15" x14ac:dyDescent="0.3">
      <c r="B22" s="1" t="s">
        <v>0</v>
      </c>
      <c r="C22" t="s">
        <v>10</v>
      </c>
      <c r="D22" t="s">
        <v>11</v>
      </c>
      <c r="E22" t="s">
        <v>17</v>
      </c>
      <c r="F22" t="s">
        <v>18</v>
      </c>
      <c r="G22" t="s">
        <v>19</v>
      </c>
      <c r="H22" t="s">
        <v>20</v>
      </c>
      <c r="I22" t="s">
        <v>21</v>
      </c>
      <c r="J22" t="s">
        <v>22</v>
      </c>
      <c r="K22" t="s">
        <v>23</v>
      </c>
      <c r="L22" t="s">
        <v>24</v>
      </c>
      <c r="M22" t="s">
        <v>25</v>
      </c>
      <c r="N22" t="s">
        <v>26</v>
      </c>
      <c r="O22" t="s">
        <v>1</v>
      </c>
    </row>
    <row r="23" spans="2:15" x14ac:dyDescent="0.3">
      <c r="B23" s="10" t="s">
        <v>5</v>
      </c>
      <c r="C23" s="11">
        <v>0.65381991814461116</v>
      </c>
      <c r="D23" s="11">
        <v>0.51733939738487777</v>
      </c>
      <c r="E23" s="11">
        <v>0.22715404699738903</v>
      </c>
      <c r="F23" s="11">
        <v>0.25603511338697876</v>
      </c>
      <c r="G23" s="11">
        <v>0.47354497354497355</v>
      </c>
      <c r="H23" s="11">
        <v>0.39524003254678602</v>
      </c>
      <c r="I23" s="11">
        <v>0.51883910386965382</v>
      </c>
      <c r="J23" s="11">
        <v>0.34363502575423105</v>
      </c>
      <c r="K23" s="11">
        <v>0.35588972431077692</v>
      </c>
      <c r="L23" s="11">
        <v>0.4968013468013468</v>
      </c>
      <c r="M23" s="11">
        <v>0.48610616316351979</v>
      </c>
      <c r="N23" s="11">
        <v>0.54576162136078499</v>
      </c>
      <c r="O23" s="11">
        <v>0.44268653277523906</v>
      </c>
    </row>
    <row r="24" spans="2:15" x14ac:dyDescent="0.3">
      <c r="B24" s="10" t="s">
        <v>6</v>
      </c>
      <c r="C24" s="11">
        <v>0.2008867667121419</v>
      </c>
      <c r="D24" s="11">
        <v>0.21716884593519045</v>
      </c>
      <c r="E24" s="11">
        <v>0.33014215259646068</v>
      </c>
      <c r="F24" s="11">
        <v>0.3384540356010729</v>
      </c>
      <c r="G24" s="11">
        <v>0.26543209876543211</v>
      </c>
      <c r="H24" s="11">
        <v>0.20117982099267698</v>
      </c>
      <c r="I24" s="11">
        <v>0.11863543788187372</v>
      </c>
      <c r="J24" s="11">
        <v>0.3394652931076772</v>
      </c>
      <c r="K24" s="11">
        <v>0.52105263157894732</v>
      </c>
      <c r="L24" s="11">
        <v>0.24242424242424243</v>
      </c>
      <c r="M24" s="11">
        <v>0.22265764161026005</v>
      </c>
      <c r="N24" s="11">
        <v>0.1370435901560238</v>
      </c>
      <c r="O24" s="11">
        <v>0.25425290887446717</v>
      </c>
    </row>
    <row r="25" spans="2:15" x14ac:dyDescent="0.3">
      <c r="B25" s="10" t="s">
        <v>7</v>
      </c>
      <c r="C25" s="11">
        <v>0.14529331514324692</v>
      </c>
      <c r="D25" s="11">
        <v>0.2654917566799318</v>
      </c>
      <c r="E25" s="11">
        <v>0.44270380040615026</v>
      </c>
      <c r="F25" s="11">
        <v>0.40551085101194828</v>
      </c>
      <c r="G25" s="11">
        <v>0.26102292768959434</v>
      </c>
      <c r="H25" s="11">
        <v>0.40358014646053703</v>
      </c>
      <c r="I25" s="11">
        <v>0.36252545824847249</v>
      </c>
      <c r="J25" s="11">
        <v>0.31689968113809175</v>
      </c>
      <c r="K25" s="11">
        <v>0.12305764411027569</v>
      </c>
      <c r="L25" s="11">
        <v>0.26077441077441077</v>
      </c>
      <c r="M25" s="11">
        <v>0.29123619522622018</v>
      </c>
      <c r="N25" s="11">
        <v>0.31719478848319127</v>
      </c>
      <c r="O25" s="11">
        <v>0.30306055835029377</v>
      </c>
    </row>
    <row r="26" spans="2:15" x14ac:dyDescent="0.3">
      <c r="B26" s="10" t="s">
        <v>1</v>
      </c>
      <c r="C26" s="11">
        <v>1</v>
      </c>
      <c r="D26" s="11">
        <v>1</v>
      </c>
      <c r="E26" s="11">
        <v>1</v>
      </c>
      <c r="F26" s="11">
        <v>1</v>
      </c>
      <c r="G26" s="11">
        <v>1</v>
      </c>
      <c r="H26" s="11">
        <v>1</v>
      </c>
      <c r="I26" s="11">
        <v>1</v>
      </c>
      <c r="J26" s="11">
        <v>1</v>
      </c>
      <c r="K26" s="11">
        <v>1</v>
      </c>
      <c r="L26" s="11">
        <v>1</v>
      </c>
      <c r="M26" s="11">
        <v>1</v>
      </c>
      <c r="N26" s="11">
        <v>1</v>
      </c>
      <c r="O26" s="11">
        <v>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720-17C7-4A6D-8A87-D3F4B3FDC9FE}">
  <dimension ref="B3:D16"/>
  <sheetViews>
    <sheetView workbookViewId="0">
      <selection activeCell="C6" sqref="C6"/>
    </sheetView>
  </sheetViews>
  <sheetFormatPr defaultRowHeight="14.4" x14ac:dyDescent="0.3"/>
  <cols>
    <col min="2" max="2" width="12.5546875" bestFit="1" customWidth="1"/>
    <col min="3" max="3" width="13.109375" bestFit="1" customWidth="1"/>
    <col min="4" max="4" width="10.33203125" bestFit="1" customWidth="1"/>
  </cols>
  <sheetData>
    <row r="3" spans="2:4" x14ac:dyDescent="0.3">
      <c r="B3" s="1" t="s">
        <v>0</v>
      </c>
      <c r="C3" t="s">
        <v>2</v>
      </c>
      <c r="D3" t="s">
        <v>3</v>
      </c>
    </row>
    <row r="4" spans="2:4" x14ac:dyDescent="0.3">
      <c r="B4" s="10" t="s">
        <v>10</v>
      </c>
      <c r="C4" s="25">
        <v>2932</v>
      </c>
      <c r="D4" s="25">
        <v>1345</v>
      </c>
    </row>
    <row r="5" spans="2:4" x14ac:dyDescent="0.3">
      <c r="B5" s="10" t="s">
        <v>11</v>
      </c>
      <c r="C5" s="25">
        <v>3518</v>
      </c>
      <c r="D5" s="25">
        <v>1539</v>
      </c>
    </row>
    <row r="6" spans="2:4" x14ac:dyDescent="0.3">
      <c r="B6" s="10" t="s">
        <v>17</v>
      </c>
      <c r="C6" s="25">
        <v>3447</v>
      </c>
      <c r="D6" s="25">
        <v>1533</v>
      </c>
    </row>
    <row r="7" spans="2:4" x14ac:dyDescent="0.3">
      <c r="B7" s="10" t="s">
        <v>18</v>
      </c>
      <c r="C7" s="25">
        <v>4101</v>
      </c>
      <c r="D7" s="25">
        <v>1816</v>
      </c>
    </row>
    <row r="8" spans="2:4" x14ac:dyDescent="0.3">
      <c r="B8" s="10" t="s">
        <v>19</v>
      </c>
      <c r="C8" s="25">
        <v>3402</v>
      </c>
      <c r="D8" s="25">
        <v>1396</v>
      </c>
    </row>
    <row r="9" spans="2:4" x14ac:dyDescent="0.3">
      <c r="B9" s="10" t="s">
        <v>20</v>
      </c>
      <c r="C9" s="25">
        <v>4916</v>
      </c>
      <c r="D9" s="25">
        <v>2096</v>
      </c>
    </row>
    <row r="10" spans="2:4" x14ac:dyDescent="0.3">
      <c r="B10" s="10" t="s">
        <v>21</v>
      </c>
      <c r="C10" s="25">
        <v>3928</v>
      </c>
      <c r="D10" s="25">
        <v>1763</v>
      </c>
    </row>
    <row r="11" spans="2:4" x14ac:dyDescent="0.3">
      <c r="B11" s="10" t="s">
        <v>22</v>
      </c>
      <c r="C11" s="25">
        <v>4077</v>
      </c>
      <c r="D11" s="25">
        <v>1759</v>
      </c>
    </row>
    <row r="12" spans="2:4" x14ac:dyDescent="0.3">
      <c r="B12" s="10" t="s">
        <v>23</v>
      </c>
      <c r="C12" s="25">
        <v>3990</v>
      </c>
      <c r="D12" s="25">
        <v>1778</v>
      </c>
    </row>
    <row r="13" spans="2:4" x14ac:dyDescent="0.3">
      <c r="B13" s="10" t="s">
        <v>24</v>
      </c>
      <c r="C13" s="25">
        <v>5940</v>
      </c>
      <c r="D13" s="25">
        <v>2717</v>
      </c>
    </row>
    <row r="14" spans="2:4" x14ac:dyDescent="0.3">
      <c r="B14" s="10" t="s">
        <v>25</v>
      </c>
      <c r="C14" s="25">
        <v>5614</v>
      </c>
      <c r="D14" s="25">
        <v>2541</v>
      </c>
    </row>
    <row r="15" spans="2:4" x14ac:dyDescent="0.3">
      <c r="B15" s="10" t="s">
        <v>26</v>
      </c>
      <c r="C15" s="25">
        <v>6217</v>
      </c>
      <c r="D15" s="25">
        <v>2566</v>
      </c>
    </row>
    <row r="16" spans="2:4" x14ac:dyDescent="0.3">
      <c r="B16" s="10" t="s">
        <v>1</v>
      </c>
      <c r="C16" s="25">
        <v>52082</v>
      </c>
      <c r="D16" s="25">
        <v>22849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03A3-852E-44B2-9B39-0FE5E456E1D6}">
  <dimension ref="B3:D7"/>
  <sheetViews>
    <sheetView workbookViewId="0">
      <selection activeCell="C5" sqref="C5"/>
    </sheetView>
  </sheetViews>
  <sheetFormatPr defaultRowHeight="14.4" x14ac:dyDescent="0.3"/>
  <cols>
    <col min="2" max="2" width="12.5546875" bestFit="1" customWidth="1"/>
    <col min="3" max="3" width="13.109375" bestFit="1" customWidth="1"/>
    <col min="4" max="4" width="10.33203125" bestFit="1" customWidth="1"/>
  </cols>
  <sheetData>
    <row r="3" spans="2:4" x14ac:dyDescent="0.3">
      <c r="B3" s="1" t="s">
        <v>0</v>
      </c>
      <c r="C3" t="s">
        <v>2</v>
      </c>
      <c r="D3" t="s">
        <v>3</v>
      </c>
    </row>
    <row r="4" spans="2:4" x14ac:dyDescent="0.3">
      <c r="B4" s="10" t="s">
        <v>5</v>
      </c>
      <c r="C4" s="25">
        <v>23056</v>
      </c>
      <c r="D4" s="25">
        <v>11476</v>
      </c>
    </row>
    <row r="5" spans="2:4" x14ac:dyDescent="0.3">
      <c r="B5" s="10" t="s">
        <v>6</v>
      </c>
      <c r="C5" s="25">
        <v>13242</v>
      </c>
      <c r="D5" s="25">
        <v>5560</v>
      </c>
    </row>
    <row r="6" spans="2:4" x14ac:dyDescent="0.3">
      <c r="B6" s="10" t="s">
        <v>7</v>
      </c>
      <c r="C6" s="25">
        <v>15784</v>
      </c>
      <c r="D6" s="25">
        <v>5813</v>
      </c>
    </row>
    <row r="7" spans="2:4" x14ac:dyDescent="0.3">
      <c r="B7" s="10" t="s">
        <v>1</v>
      </c>
      <c r="C7" s="25">
        <v>52082</v>
      </c>
      <c r="D7" s="25">
        <v>22849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AA73-482B-4638-96DF-9DA994D54DC8}">
  <dimension ref="B3:C9"/>
  <sheetViews>
    <sheetView workbookViewId="0">
      <selection activeCell="C4" sqref="C4:C8"/>
    </sheetView>
  </sheetViews>
  <sheetFormatPr defaultRowHeight="14.4" x14ac:dyDescent="0.3"/>
  <cols>
    <col min="2" max="2" width="12.88671875" bestFit="1" customWidth="1"/>
    <col min="3" max="3" width="13.109375" bestFit="1" customWidth="1"/>
  </cols>
  <sheetData>
    <row r="3" spans="2:3" x14ac:dyDescent="0.3">
      <c r="B3" s="1" t="s">
        <v>0</v>
      </c>
      <c r="C3" t="s">
        <v>2</v>
      </c>
    </row>
    <row r="4" spans="2:3" x14ac:dyDescent="0.3">
      <c r="B4" s="10" t="s">
        <v>14</v>
      </c>
      <c r="C4" s="25">
        <v>7597</v>
      </c>
    </row>
    <row r="5" spans="2:3" x14ac:dyDescent="0.3">
      <c r="B5" s="10" t="s">
        <v>13</v>
      </c>
      <c r="C5" s="25">
        <v>7013</v>
      </c>
    </row>
    <row r="6" spans="2:3" x14ac:dyDescent="0.3">
      <c r="B6" s="10" t="s">
        <v>15</v>
      </c>
      <c r="C6" s="25">
        <v>5256</v>
      </c>
    </row>
    <row r="7" spans="2:3" x14ac:dyDescent="0.3">
      <c r="B7" s="10" t="s">
        <v>28</v>
      </c>
      <c r="C7" s="25">
        <v>3963</v>
      </c>
    </row>
    <row r="8" spans="2:3" x14ac:dyDescent="0.3">
      <c r="B8" s="10" t="s">
        <v>27</v>
      </c>
      <c r="C8" s="25">
        <v>3585</v>
      </c>
    </row>
    <row r="9" spans="2:3" x14ac:dyDescent="0.3">
      <c r="B9" s="10" t="s">
        <v>1</v>
      </c>
      <c r="C9" s="25">
        <v>27414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C3CDB-3370-4990-9890-FF7DBADE6BA2}">
  <dimension ref="B3:C9"/>
  <sheetViews>
    <sheetView workbookViewId="0">
      <selection activeCell="C4" sqref="C4"/>
    </sheetView>
  </sheetViews>
  <sheetFormatPr defaultRowHeight="14.4" x14ac:dyDescent="0.3"/>
  <cols>
    <col min="2" max="2" width="12.5546875" bestFit="1" customWidth="1"/>
    <col min="3" max="3" width="13.109375" bestFit="1" customWidth="1"/>
  </cols>
  <sheetData>
    <row r="3" spans="2:3" x14ac:dyDescent="0.3">
      <c r="B3" s="1" t="s">
        <v>0</v>
      </c>
      <c r="C3" t="s">
        <v>2</v>
      </c>
    </row>
    <row r="4" spans="2:3" x14ac:dyDescent="0.3">
      <c r="B4" s="10" t="s">
        <v>37</v>
      </c>
      <c r="C4" s="25">
        <v>10993</v>
      </c>
    </row>
    <row r="5" spans="2:3" x14ac:dyDescent="0.3">
      <c r="B5" s="10" t="s">
        <v>35</v>
      </c>
      <c r="C5" s="25">
        <v>9523</v>
      </c>
    </row>
    <row r="6" spans="2:3" x14ac:dyDescent="0.3">
      <c r="B6" s="10" t="s">
        <v>33</v>
      </c>
      <c r="C6" s="25">
        <v>7793</v>
      </c>
    </row>
    <row r="7" spans="2:3" x14ac:dyDescent="0.3">
      <c r="B7" s="10" t="s">
        <v>36</v>
      </c>
      <c r="C7" s="25">
        <v>7768</v>
      </c>
    </row>
    <row r="8" spans="2:3" x14ac:dyDescent="0.3">
      <c r="B8" s="10" t="s">
        <v>34</v>
      </c>
      <c r="C8" s="25">
        <v>7010</v>
      </c>
    </row>
    <row r="9" spans="2:3" x14ac:dyDescent="0.3">
      <c r="B9" s="10" t="s">
        <v>1</v>
      </c>
      <c r="C9" s="25">
        <v>43087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AD19A-29E0-4AF0-B115-5FA68B55ADC1}">
  <sheetPr>
    <pageSetUpPr autoPageBreaks="0"/>
  </sheetPr>
  <dimension ref="A1:O6"/>
  <sheetViews>
    <sheetView showGridLines="0" tabSelected="1" zoomScale="80" zoomScaleNormal="80" workbookViewId="0">
      <selection activeCell="T16" sqref="T16"/>
    </sheetView>
  </sheetViews>
  <sheetFormatPr defaultRowHeight="14.4" x14ac:dyDescent="0.3"/>
  <cols>
    <col min="1" max="15" width="12.77734375" customWidth="1"/>
  </cols>
  <sheetData>
    <row r="1" spans="1:15" ht="14.4" customHeight="1" x14ac:dyDescent="0.3">
      <c r="A1" s="21" t="s">
        <v>29</v>
      </c>
      <c r="B1" s="21"/>
      <c r="C1" s="21"/>
      <c r="D1" s="21"/>
      <c r="E1" s="21"/>
      <c r="F1" s="21"/>
      <c r="G1" s="21"/>
      <c r="H1" s="21"/>
      <c r="I1" s="21"/>
      <c r="J1" s="21"/>
      <c r="K1" s="21"/>
      <c r="L1" s="21"/>
      <c r="M1" s="21"/>
      <c r="N1" s="21"/>
      <c r="O1" s="21"/>
    </row>
    <row r="2" spans="1:15" ht="14.4" customHeight="1" x14ac:dyDescent="0.3">
      <c r="A2" s="21"/>
      <c r="B2" s="21"/>
      <c r="C2" s="21"/>
      <c r="D2" s="21"/>
      <c r="E2" s="21"/>
      <c r="F2" s="21"/>
      <c r="G2" s="21"/>
      <c r="H2" s="21"/>
      <c r="I2" s="21"/>
      <c r="J2" s="21"/>
      <c r="K2" s="21"/>
      <c r="L2" s="21"/>
      <c r="M2" s="21"/>
      <c r="N2" s="21"/>
      <c r="O2" s="21"/>
    </row>
    <row r="4" spans="1:15" x14ac:dyDescent="0.3">
      <c r="A4" s="22" t="s">
        <v>2</v>
      </c>
      <c r="B4" s="22"/>
      <c r="C4" s="22"/>
      <c r="E4" s="22" t="s">
        <v>3</v>
      </c>
      <c r="F4" s="22"/>
      <c r="G4" s="22"/>
      <c r="I4" s="22" t="s">
        <v>30</v>
      </c>
      <c r="J4" s="22"/>
      <c r="K4" s="22"/>
      <c r="M4" s="22" t="s">
        <v>31</v>
      </c>
      <c r="N4" s="22"/>
      <c r="O4" s="22"/>
    </row>
    <row r="5" spans="1:15" x14ac:dyDescent="0.3">
      <c r="A5" s="23">
        <f>GETPIVOTDATA("[Measures].[Total Revenue]",Total!$B$3)</f>
        <v>52082</v>
      </c>
      <c r="B5" s="23"/>
      <c r="C5" s="23"/>
      <c r="E5" s="23">
        <f>GETPIVOTDATA("[Measures].[Total Profit]",Total!$B$3)</f>
        <v>22849</v>
      </c>
      <c r="F5" s="23"/>
      <c r="G5" s="23"/>
      <c r="I5" s="24">
        <f>GETPIVOTDATA("[Measures].[Profit Margine %]",Total!$B$3)</f>
        <v>0.43871203102799433</v>
      </c>
      <c r="J5" s="24"/>
      <c r="K5" s="24"/>
      <c r="M5" s="23">
        <f>GETPIVOTDATA("[Measures].[Total sales]",Total!$H$3)</f>
        <v>400</v>
      </c>
      <c r="N5" s="23"/>
      <c r="O5" s="23"/>
    </row>
    <row r="6" spans="1:15" x14ac:dyDescent="0.3">
      <c r="A6" s="23"/>
      <c r="B6" s="23"/>
      <c r="C6" s="23"/>
      <c r="E6" s="23"/>
      <c r="F6" s="23"/>
      <c r="G6" s="23"/>
      <c r="I6" s="24"/>
      <c r="J6" s="24"/>
      <c r="K6" s="24"/>
      <c r="M6" s="23"/>
      <c r="N6" s="23"/>
      <c r="O6" s="23"/>
    </row>
  </sheetData>
  <mergeCells count="9">
    <mergeCell ref="A1:O2"/>
    <mergeCell ref="M4:O4"/>
    <mergeCell ref="M5:O6"/>
    <mergeCell ref="A4:C4"/>
    <mergeCell ref="A5:C6"/>
    <mergeCell ref="E4:G4"/>
    <mergeCell ref="E5:G6"/>
    <mergeCell ref="I4:K4"/>
    <mergeCell ref="I5:K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FC4A56E1-F73D-49A6-AED2-BAB28C561EA1}">
  <ds:schemaRefs/>
</ds:datastoreItem>
</file>

<file path=customXml/itemProps2.xml><?xml version="1.0" encoding="utf-8"?>
<ds:datastoreItem xmlns:ds="http://schemas.openxmlformats.org/officeDocument/2006/customXml" ds:itemID="{26983A78-1640-4F89-B135-35346BDB1608}">
  <ds:schemaRefs/>
</ds:datastoreItem>
</file>

<file path=customXml/itemProps3.xml><?xml version="1.0" encoding="utf-8"?>
<ds:datastoreItem xmlns:ds="http://schemas.openxmlformats.org/officeDocument/2006/customXml" ds:itemID="{1311C393-9838-4853-9169-E18151DE3AA4}">
  <ds:schemaRefs/>
</ds:datastoreItem>
</file>

<file path=customXml/itemProps4.xml><?xml version="1.0" encoding="utf-8"?>
<ds:datastoreItem xmlns:ds="http://schemas.openxmlformats.org/officeDocument/2006/customXml" ds:itemID="{717422C2-5BF2-4B76-9C34-A89295E358A6}">
  <ds:schemaRefs/>
</ds:datastoreItem>
</file>

<file path=customXml/itemProps5.xml><?xml version="1.0" encoding="utf-8"?>
<ds:datastoreItem xmlns:ds="http://schemas.openxmlformats.org/officeDocument/2006/customXml" ds:itemID="{F2C7EE7E-A821-482E-9118-A940E1FA15EF}">
  <ds:schemaRefs/>
</ds:datastoreItem>
</file>

<file path=customXml/itemProps6.xml><?xml version="1.0" encoding="utf-8"?>
<ds:datastoreItem xmlns:ds="http://schemas.openxmlformats.org/officeDocument/2006/customXml" ds:itemID="{BEDED1E9-88EB-4CB4-809D-0D86D8747402}">
  <ds:schemaRefs/>
</ds:datastoreItem>
</file>

<file path=customXml/itemProps7.xml><?xml version="1.0" encoding="utf-8"?>
<ds:datastoreItem xmlns:ds="http://schemas.openxmlformats.org/officeDocument/2006/customXml" ds:itemID="{C9DCADDD-4482-4206-A48A-5CCE0CC34E6E}">
  <ds:schemaRefs/>
</ds:datastoreItem>
</file>

<file path=customXml/itemProps8.xml><?xml version="1.0" encoding="utf-8"?>
<ds:datastoreItem xmlns:ds="http://schemas.openxmlformats.org/officeDocument/2006/customXml" ds:itemID="{7E5EB9A4-32F3-4832-B638-CE73A9CF5F62}">
  <ds:schemaRefs/>
</ds:datastoreItem>
</file>

<file path=customXml/itemProps9.xml><?xml version="1.0" encoding="utf-8"?>
<ds:datastoreItem xmlns:ds="http://schemas.openxmlformats.org/officeDocument/2006/customXml" ds:itemID="{978DDF33-39CD-45A9-954E-0F6EEA69B83D}">
  <ds:schemaRefs/>
</ds:datastoreItem>
</file>

<file path=customXml/itemProps10.xml><?xml version="1.0" encoding="utf-8"?>
<ds:datastoreItem xmlns:ds="http://schemas.openxmlformats.org/officeDocument/2006/customXml" ds:itemID="{B8DD1446-CCFD-404A-BEED-B17B6A1D78EF}">
  <ds:schemaRefs/>
</ds:datastoreItem>
</file>

<file path=customXml/itemProps11.xml><?xml version="1.0" encoding="utf-8"?>
<ds:datastoreItem xmlns:ds="http://schemas.openxmlformats.org/officeDocument/2006/customXml" ds:itemID="{8218378D-68E8-4340-9930-B69E2FF03588}">
  <ds:schemaRefs/>
</ds:datastoreItem>
</file>

<file path=customXml/itemProps12.xml><?xml version="1.0" encoding="utf-8"?>
<ds:datastoreItem xmlns:ds="http://schemas.openxmlformats.org/officeDocument/2006/customXml" ds:itemID="{2B7361AD-328E-4CB1-B673-0A9C4E7A42B3}">
  <ds:schemaRefs/>
</ds:datastoreItem>
</file>

<file path=customXml/itemProps13.xml><?xml version="1.0" encoding="utf-8"?>
<ds:datastoreItem xmlns:ds="http://schemas.openxmlformats.org/officeDocument/2006/customXml" ds:itemID="{004D405E-E212-4381-8B80-E4BE75AF5970}">
  <ds:schemaRefs/>
</ds:datastoreItem>
</file>

<file path=customXml/itemProps14.xml><?xml version="1.0" encoding="utf-8"?>
<ds:datastoreItem xmlns:ds="http://schemas.openxmlformats.org/officeDocument/2006/customXml" ds:itemID="{C6A79129-DDA5-4392-803F-6F6B866147A3}">
  <ds:schemaRefs/>
</ds:datastoreItem>
</file>

<file path=customXml/itemProps15.xml><?xml version="1.0" encoding="utf-8"?>
<ds:datastoreItem xmlns:ds="http://schemas.openxmlformats.org/officeDocument/2006/customXml" ds:itemID="{230A60E9-071F-4B6F-8D62-98CF6032B6BE}">
  <ds:schemaRefs/>
</ds:datastoreItem>
</file>

<file path=customXml/itemProps16.xml><?xml version="1.0" encoding="utf-8"?>
<ds:datastoreItem xmlns:ds="http://schemas.openxmlformats.org/officeDocument/2006/customXml" ds:itemID="{A1172AF7-1943-4609-BA03-2836D41B2D32}">
  <ds:schemaRefs/>
</ds:datastoreItem>
</file>

<file path=customXml/itemProps17.xml><?xml version="1.0" encoding="utf-8"?>
<ds:datastoreItem xmlns:ds="http://schemas.openxmlformats.org/officeDocument/2006/customXml" ds:itemID="{69094C30-7E12-4891-B582-F3FE6103126C}">
  <ds:schemaRefs/>
</ds:datastoreItem>
</file>

<file path=customXml/itemProps18.xml><?xml version="1.0" encoding="utf-8"?>
<ds:datastoreItem xmlns:ds="http://schemas.openxmlformats.org/officeDocument/2006/customXml" ds:itemID="{C7163BD5-987D-41DB-B75A-EA3D1CCDD7DB}">
  <ds:schemaRefs/>
</ds:datastoreItem>
</file>

<file path=customXml/itemProps19.xml><?xml version="1.0" encoding="utf-8"?>
<ds:datastoreItem xmlns:ds="http://schemas.openxmlformats.org/officeDocument/2006/customXml" ds:itemID="{56E64D94-B14D-4832-B432-89926732C395}">
  <ds:schemaRefs/>
</ds:datastoreItem>
</file>

<file path=customXml/itemProps20.xml><?xml version="1.0" encoding="utf-8"?>
<ds:datastoreItem xmlns:ds="http://schemas.openxmlformats.org/officeDocument/2006/customXml" ds:itemID="{8A59F680-5021-4CFB-86DF-940646C442B3}">
  <ds:schemaRefs/>
</ds:datastoreItem>
</file>

<file path=customXml/itemProps21.xml><?xml version="1.0" encoding="utf-8"?>
<ds:datastoreItem xmlns:ds="http://schemas.openxmlformats.org/officeDocument/2006/customXml" ds:itemID="{1A870C79-1E30-41AD-ADA8-2FA09AE0B73A}">
  <ds:schemaRefs/>
</ds:datastoreItem>
</file>

<file path=customXml/itemProps22.xml><?xml version="1.0" encoding="utf-8"?>
<ds:datastoreItem xmlns:ds="http://schemas.openxmlformats.org/officeDocument/2006/customXml" ds:itemID="{95478558-1C58-4CD0-9C90-AA65169FE8F4}">
  <ds:schemaRefs/>
</ds:datastoreItem>
</file>

<file path=customXml/itemProps23.xml><?xml version="1.0" encoding="utf-8"?>
<ds:datastoreItem xmlns:ds="http://schemas.openxmlformats.org/officeDocument/2006/customXml" ds:itemID="{576C42CB-E172-41A3-97A5-646DC73B5214}">
  <ds:schemaRefs/>
</ds:datastoreItem>
</file>

<file path=customXml/itemProps24.xml><?xml version="1.0" encoding="utf-8"?>
<ds:datastoreItem xmlns:ds="http://schemas.openxmlformats.org/officeDocument/2006/customXml" ds:itemID="{4621F2B9-5AD2-4C82-A45A-44BDDF02B0AE}">
  <ds:schemaRefs/>
</ds:datastoreItem>
</file>

<file path=customXml/itemProps25.xml><?xml version="1.0" encoding="utf-8"?>
<ds:datastoreItem xmlns:ds="http://schemas.openxmlformats.org/officeDocument/2006/customXml" ds:itemID="{4F3C8787-BA96-41A8-B3BE-C39177CD3EEF}">
  <ds:schemaRefs/>
</ds:datastoreItem>
</file>

<file path=customXml/itemProps26.xml><?xml version="1.0" encoding="utf-8"?>
<ds:datastoreItem xmlns:ds="http://schemas.openxmlformats.org/officeDocument/2006/customXml" ds:itemID="{C1A3B63B-FACB-4494-AC22-8EF47F1FF284}">
  <ds:schemaRefs/>
</ds:datastoreItem>
</file>

<file path=customXml/itemProps27.xml><?xml version="1.0" encoding="utf-8"?>
<ds:datastoreItem xmlns:ds="http://schemas.openxmlformats.org/officeDocument/2006/customXml" ds:itemID="{D44C8165-8355-485B-93E1-318747E085DA}">
  <ds:schemaRefs/>
</ds:datastoreItem>
</file>

<file path=customXml/itemProps28.xml><?xml version="1.0" encoding="utf-8"?>
<ds:datastoreItem xmlns:ds="http://schemas.openxmlformats.org/officeDocument/2006/customXml" ds:itemID="{32FD352A-537A-4008-B475-3C2BFB5800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Date Pivot</vt:lpstr>
      <vt:lpstr>Total</vt:lpstr>
      <vt:lpstr>Pivot_monthly</vt:lpstr>
      <vt:lpstr>Pivot_Category</vt:lpstr>
      <vt:lpstr>Pivot_Products</vt:lpstr>
      <vt:lpstr>Pivot_City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EHSAN</dc:creator>
  <cp:lastModifiedBy>EHSAN</cp:lastModifiedBy>
  <dcterms:created xsi:type="dcterms:W3CDTF">2015-06-05T18:17:20Z</dcterms:created>
  <dcterms:modified xsi:type="dcterms:W3CDTF">2026-10-10T08:38:39Z</dcterms:modified>
</cp:coreProperties>
</file>